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210" tabRatio="617" firstSheet="0" activeTab="7" autoFilterDateGrouping="1"/>
  </bookViews>
  <sheets>
    <sheet name="Inputs" sheetId="1" state="visible" r:id="rId1"/>
    <sheet name="Tax Calculations" sheetId="2" state="visible" r:id="rId2"/>
    <sheet name="Calculations" sheetId="3" state="visible" r:id="rId3"/>
    <sheet name="Income" sheetId="4" state="visible" r:id="rId4"/>
    <sheet name="Definitions" sheetId="5" state="visible" r:id="rId5"/>
    <sheet name="Full Model Data" sheetId="6" state="visible" r:id="rId6"/>
    <sheet name="Adj to Income" sheetId="7" state="visible" r:id="rId7"/>
    <sheet name="Itermized Deductions" sheetId="8" state="visible" r:id="rId8"/>
    <sheet name="Tax Credits" sheetId="9" state="visible" r:id="rId9"/>
  </sheets>
  <definedNames>
    <definedName name="_xleta.IF" hidden="1" xlm="1">#NAME?</definedName>
    <definedName name="_xleta.T" hidden="1" xlm="1">#NAME?</definedName>
    <definedName name="_xlpm.choices" hidden="1" xlm="1">#NAME?</definedName>
    <definedName name="_xlpm.lower" hidden="1" xlm="1">#NAME?</definedName>
    <definedName name="_xlpm.m" hidden="1" xlm="1">#NAME?</definedName>
    <definedName name="_xlpm.status" hidden="1" xlm="1">#NAME?</definedName>
    <definedName name="_xlpm.upper" hidden="1" xlm="1">#NAME?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&quot;Above&quot;\ \ General"/>
    <numFmt numFmtId="166" formatCode="&quot;$&quot;#,##0_);[Red]\(&quot;$&quot;#,##0\)"/>
    <numFmt numFmtId="167" formatCode="mm/dd/yyyy"/>
    <numFmt numFmtId="168" formatCode="_(* #,##0_);_(* \(#,##0\);_(* &quot;-&quot;?_);_(@_)"/>
  </numFmts>
  <fonts count="3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142EE9"/>
      <sz val="12"/>
      <scheme val="minor"/>
    </font>
    <font>
      <name val="Aptos Narrow"/>
      <b val="1"/>
      <color theme="0"/>
      <sz val="12"/>
      <scheme val="minor"/>
    </font>
    <font>
      <name val="Aptos Narrow"/>
      <color rgb="FF142EE9"/>
      <sz val="12"/>
      <scheme val="minor"/>
    </font>
    <font>
      <name val="Aptos Narrow"/>
      <color theme="1"/>
      <sz val="12"/>
      <scheme val="minor"/>
    </font>
    <font>
      <name val="Aptos Narrow"/>
      <color theme="1"/>
      <sz val="11"/>
      <scheme val="minor"/>
    </font>
    <font>
      <name val="-webkit-standard"/>
      <color rgb="FF000000"/>
      <sz val="14"/>
    </font>
    <font>
      <name val="Tahoma"/>
      <family val="2"/>
      <color rgb="FF000000"/>
      <sz val="10"/>
    </font>
    <font>
      <name val="Aptos Narrow"/>
      <color rgb="FF000000"/>
      <sz val="10"/>
      <scheme val="minor"/>
    </font>
    <font>
      <name val="Aptos Narrow"/>
      <b val="1"/>
      <sz val="12"/>
      <scheme val="minor"/>
    </font>
    <font>
      <name val="Aptos Narrow"/>
      <sz val="12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i val="1"/>
      <color rgb="FF000000"/>
      <sz val="12"/>
      <scheme val="minor"/>
    </font>
    <font>
      <name val="Aptos Narrow"/>
      <color rgb="FF000000"/>
      <sz val="10"/>
    </font>
    <font>
      <name val="Tahoma"/>
      <family val="2"/>
      <color rgb="FF000000"/>
      <sz val="10"/>
    </font>
    <font>
      <name val="Arial"/>
      <family val="2"/>
      <sz val="11"/>
    </font>
    <font>
      <name val="Aptos Narrow"/>
      <family val="2"/>
      <sz val="12"/>
      <scheme val="minor"/>
    </font>
    <font>
      <name val="-webkit-standard"/>
      <color rgb="FF000000"/>
      <sz val="12"/>
    </font>
    <font>
      <name val="Aptos Display"/>
      <color rgb="FF000000"/>
      <sz val="12"/>
    </font>
    <font>
      <name val="Aptos Narrow"/>
      <family val="2"/>
      <color rgb="FF000000"/>
      <sz val="12"/>
      <scheme val="minor"/>
    </font>
    <font>
      <name val="Aptos Narrow"/>
      <b val="1"/>
      <color rgb="FF000000"/>
      <sz val="10"/>
      <scheme val="minor"/>
    </font>
    <font>
      <name val="Aptos Narrow"/>
      <i val="1"/>
      <color rgb="FF000000"/>
      <sz val="10"/>
      <scheme val="minor"/>
    </font>
    <font>
      <name val="Aptos Narrow"/>
      <b val="1"/>
      <color rgb="FF000000"/>
      <sz val="12"/>
      <scheme val="minor"/>
    </font>
    <font>
      <name val="Aptos Narrow"/>
      <color rgb="FF000000"/>
      <sz val="12"/>
      <scheme val="minor"/>
    </font>
    <font>
      <name val="Aptos Narrow"/>
      <family val="2"/>
      <b val="1"/>
      <color theme="0"/>
      <sz val="12"/>
      <scheme val="minor"/>
    </font>
    <font>
      <name val="Tahoma"/>
      <family val="2"/>
      <b val="1"/>
      <color rgb="FF000000"/>
      <sz val="10"/>
    </font>
    <font>
      <name val="Aptos Narrow"/>
      <b val="1"/>
      <color rgb="FF142EE9"/>
      <sz val="12"/>
      <scheme val="minor"/>
    </font>
    <font>
      <name val="Aptos Narrow"/>
      <b val="1"/>
      <color rgb="FF000000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000000"/>
      <sz val="10"/>
    </font>
    <font>
      <name val="Aptos Narrow"/>
      <b val="1"/>
      <color rgb="FF000000"/>
      <sz val="18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1" fillId="0" borderId="0"/>
    <xf numFmtId="43" fontId="1" fillId="0" borderId="0"/>
    <xf numFmtId="9" fontId="1" fillId="0" borderId="0"/>
    <xf numFmtId="0" fontId="36" fillId="0" borderId="0"/>
  </cellStyleXfs>
  <cellXfs count="149">
    <xf numFmtId="0" fontId="0" fillId="0" borderId="0" pivotButton="0" quotePrefix="0" xfId="0"/>
    <xf numFmtId="0" fontId="3" fillId="0" borderId="0" pivotButton="0" quotePrefix="0" xfId="0"/>
    <xf numFmtId="164" fontId="0" fillId="0" borderId="0" pivotButton="0" quotePrefix="0" xfId="1"/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164" fontId="4" fillId="0" borderId="1" pivotButton="0" quotePrefix="0" xfId="1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1"/>
    <xf numFmtId="9" fontId="0" fillId="0" borderId="0" pivotButton="0" quotePrefix="0" xfId="0"/>
    <xf numFmtId="164" fontId="4" fillId="0" borderId="1" pivotButton="0" quotePrefix="0" xfId="0"/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4" fontId="0" fillId="0" borderId="0" pivotButton="0" quotePrefix="0" xfId="1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left"/>
    </xf>
    <xf numFmtId="9" fontId="5" fillId="0" borderId="0" pivotButton="0" quotePrefix="0" xfId="0"/>
    <xf numFmtId="164" fontId="5" fillId="0" borderId="0" pivotButton="0" quotePrefix="0" xfId="1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164" fontId="4" fillId="0" borderId="0" pivotButton="0" quotePrefix="0" xfId="0"/>
    <xf numFmtId="10" fontId="0" fillId="0" borderId="0" pivotButton="0" quotePrefix="0" xfId="0"/>
    <xf numFmtId="164" fontId="7" fillId="0" borderId="0" pivotButton="0" quotePrefix="0" xfId="1"/>
    <xf numFmtId="3" fontId="7" fillId="0" borderId="0" pivotButton="0" quotePrefix="0" xfId="0"/>
    <xf numFmtId="164" fontId="7" fillId="0" borderId="0" applyAlignment="1" pivotButton="0" quotePrefix="0" xfId="1">
      <alignment horizontal="right"/>
    </xf>
    <xf numFmtId="0" fontId="7" fillId="0" borderId="0" applyAlignment="1" pivotButton="0" quotePrefix="0" xfId="0">
      <alignment horizontal="right"/>
    </xf>
    <xf numFmtId="43" fontId="0" fillId="0" borderId="0" pivotButton="0" quotePrefix="0" xfId="0"/>
    <xf numFmtId="0" fontId="6" fillId="2" borderId="0" pivotButton="0" quotePrefix="0" xfId="0"/>
    <xf numFmtId="165" fontId="6" fillId="2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164" fontId="4" fillId="0" borderId="0" pivotButton="0" quotePrefix="0" xfId="1"/>
    <xf numFmtId="0" fontId="9" fillId="0" borderId="0" applyAlignment="1" pivotButton="0" quotePrefix="0" xfId="0">
      <alignment horizontal="left"/>
    </xf>
    <xf numFmtId="0" fontId="7" fillId="0" borderId="0" pivotButton="0" quotePrefix="0" xfId="0"/>
    <xf numFmtId="164" fontId="0" fillId="0" borderId="0" pivotButton="0" quotePrefix="0" xfId="1"/>
    <xf numFmtId="164" fontId="3" fillId="0" borderId="0" pivotButton="0" quotePrefix="0" xfId="0"/>
    <xf numFmtId="0" fontId="6" fillId="0" borderId="0" pivotButton="0" quotePrefix="0" xfId="0"/>
    <xf numFmtId="164" fontId="5" fillId="0" borderId="0" pivotButton="0" quotePrefix="0" xfId="1"/>
    <xf numFmtId="0" fontId="3" fillId="3" borderId="0" pivotButton="0" quotePrefix="0" xfId="0"/>
    <xf numFmtId="0" fontId="0" fillId="3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right"/>
    </xf>
    <xf numFmtId="0" fontId="15" fillId="0" borderId="0" pivotButton="0" quotePrefix="0" xfId="0"/>
    <xf numFmtId="164" fontId="6" fillId="2" borderId="0" pivotButton="0" quotePrefix="0" xfId="1"/>
    <xf numFmtId="164" fontId="3" fillId="0" borderId="1" pivotButton="0" quotePrefix="0" xfId="1"/>
    <xf numFmtId="164" fontId="1" fillId="0" borderId="0" pivotButton="0" quotePrefix="0" xfId="1"/>
    <xf numFmtId="164" fontId="14" fillId="0" borderId="0" pivotButton="0" quotePrefix="0" xfId="1"/>
    <xf numFmtId="164" fontId="5" fillId="0" borderId="0" pivotButton="0" quotePrefix="0" xfId="1"/>
    <xf numFmtId="0" fontId="19" fillId="0" borderId="0" pivotButton="0" quotePrefix="0" xfId="0"/>
    <xf numFmtId="43" fontId="0" fillId="0" borderId="0" pivotButton="0" quotePrefix="0" xfId="1"/>
    <xf numFmtId="0" fontId="3" fillId="0" borderId="3" pivotButton="0" quotePrefix="0" xfId="0"/>
    <xf numFmtId="0" fontId="0" fillId="4" borderId="0" pivotButton="0" quotePrefix="0" xfId="0"/>
    <xf numFmtId="0" fontId="13" fillId="0" borderId="3" pivotButton="0" quotePrefix="0" xfId="0"/>
    <xf numFmtId="164" fontId="20" fillId="0" borderId="0" pivotButton="0" quotePrefix="0" xfId="1"/>
    <xf numFmtId="9" fontId="0" fillId="0" borderId="0" pivotButton="0" quotePrefix="0" xfId="2"/>
    <xf numFmtId="0" fontId="3" fillId="5" borderId="0" applyAlignment="1" pivotButton="0" quotePrefix="0" xfId="0">
      <alignment horizontal="right"/>
    </xf>
    <xf numFmtId="164" fontId="5" fillId="5" borderId="0" pivotButton="0" quotePrefix="0" xfId="1"/>
    <xf numFmtId="164" fontId="13" fillId="0" borderId="3" pivotButton="0" quotePrefix="0" xfId="1"/>
    <xf numFmtId="164" fontId="8" fillId="0" borderId="1" pivotButton="0" quotePrefix="0" xfId="0"/>
    <xf numFmtId="0" fontId="0" fillId="6" borderId="0" pivotButton="0" quotePrefix="0" xfId="0"/>
    <xf numFmtId="0" fontId="13" fillId="6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3" fillId="0" borderId="3" pivotButton="0" quotePrefix="0" xfId="1"/>
    <xf numFmtId="166" fontId="23" fillId="0" borderId="0" pivotButton="0" quotePrefix="0" xfId="0"/>
    <xf numFmtId="9" fontId="15" fillId="0" borderId="0" pivotButton="0" quotePrefix="0" xfId="0"/>
    <xf numFmtId="0" fontId="8" fillId="3" borderId="0" pivotButton="0" quotePrefix="0" xfId="0"/>
    <xf numFmtId="0" fontId="3" fillId="3" borderId="0" applyAlignment="1" pivotButton="0" quotePrefix="0" xfId="0">
      <alignment horizontal="center"/>
    </xf>
    <xf numFmtId="0" fontId="8" fillId="0" borderId="0" pivotButton="0" quotePrefix="0" xfId="0"/>
    <xf numFmtId="0" fontId="3" fillId="0" borderId="4" pivotButton="0" quotePrefix="0" xfId="0"/>
    <xf numFmtId="164" fontId="3" fillId="0" borderId="4" pivotButton="0" quotePrefix="0" xfId="1"/>
    <xf numFmtId="0" fontId="23" fillId="0" borderId="0" pivotButton="0" quotePrefix="0" xfId="0"/>
    <xf numFmtId="0" fontId="27" fillId="0" borderId="0" pivotButton="0" quotePrefix="0" xfId="0"/>
    <xf numFmtId="9" fontId="30" fillId="0" borderId="0" pivotButton="0" quotePrefix="0" xfId="0"/>
    <xf numFmtId="166" fontId="15" fillId="0" borderId="0" pivotButton="0" quotePrefix="0" xfId="0"/>
    <xf numFmtId="164" fontId="0" fillId="0" borderId="0" applyAlignment="1" pivotButton="0" quotePrefix="0" xfId="1">
      <alignment horizontal="right"/>
    </xf>
    <xf numFmtId="10" fontId="0" fillId="0" borderId="0" pivotButton="0" quotePrefix="0" xfId="2"/>
    <xf numFmtId="0" fontId="0" fillId="0" borderId="4" pivotButton="0" quotePrefix="0" xfId="0"/>
    <xf numFmtId="9" fontId="3" fillId="0" borderId="1" pivotButton="0" quotePrefix="0" xfId="2"/>
    <xf numFmtId="0" fontId="8" fillId="0" borderId="1" pivotButton="0" quotePrefix="0" xfId="0"/>
    <xf numFmtId="164" fontId="3" fillId="0" borderId="0" pivotButton="0" quotePrefix="0" xfId="1"/>
    <xf numFmtId="0" fontId="0" fillId="7" borderId="0" pivotButton="0" quotePrefix="0" xfId="0"/>
    <xf numFmtId="0" fontId="3" fillId="7" borderId="0" pivotButton="0" quotePrefix="0" xfId="0"/>
    <xf numFmtId="3" fontId="0" fillId="0" borderId="0" pivotButton="0" quotePrefix="0" xfId="0"/>
    <xf numFmtId="14" fontId="0" fillId="0" borderId="0" pivotButton="0" quotePrefix="0" xfId="0"/>
    <xf numFmtId="167" fontId="0" fillId="0" borderId="0" pivotButton="0" quotePrefix="0" xfId="0"/>
    <xf numFmtId="9" fontId="14" fillId="0" borderId="0" pivotButton="0" quotePrefix="0" xfId="0"/>
    <xf numFmtId="0" fontId="15" fillId="0" borderId="0" applyAlignment="1" pivotButton="0" quotePrefix="0" xfId="0">
      <alignment horizontal="right"/>
    </xf>
    <xf numFmtId="9" fontId="23" fillId="0" borderId="0" pivotButton="0" quotePrefix="0" xfId="0"/>
    <xf numFmtId="10" fontId="23" fillId="0" borderId="0" pivotButton="0" quotePrefix="0" xfId="0"/>
    <xf numFmtId="0" fontId="28" fillId="2" borderId="0" pivotButton="0" quotePrefix="0" xfId="0"/>
    <xf numFmtId="0" fontId="26" fillId="0" borderId="0" pivotButton="0" quotePrefix="0" xfId="0"/>
    <xf numFmtId="0" fontId="0" fillId="0" borderId="0" pivotButton="0" quotePrefix="0" xfId="0"/>
    <xf numFmtId="164" fontId="13" fillId="0" borderId="3" pivotButton="0" quotePrefix="0" xfId="1"/>
    <xf numFmtId="164" fontId="23" fillId="0" borderId="0" pivotButton="0" quotePrefix="0" xfId="1"/>
    <xf numFmtId="164" fontId="27" fillId="0" borderId="0" pivotButton="0" quotePrefix="0" xfId="1"/>
    <xf numFmtId="0" fontId="3" fillId="3" borderId="0" applyAlignment="1" pivotButton="0" quotePrefix="0" xfId="0">
      <alignment horizontal="left"/>
    </xf>
    <xf numFmtId="168" fontId="0" fillId="0" borderId="0" pivotButton="0" quotePrefix="0" xfId="0"/>
    <xf numFmtId="168" fontId="3" fillId="0" borderId="1" pivotButton="0" quotePrefix="0" xfId="0"/>
    <xf numFmtId="10" fontId="27" fillId="0" borderId="0" pivotButton="0" quotePrefix="0" xfId="0"/>
    <xf numFmtId="9" fontId="0" fillId="0" borderId="0" applyAlignment="1" pivotButton="0" quotePrefix="0" xfId="0">
      <alignment horizontal="right"/>
    </xf>
    <xf numFmtId="9" fontId="8" fillId="0" borderId="0" applyAlignment="1" pivotButton="0" quotePrefix="0" xfId="0">
      <alignment horizontal="right"/>
    </xf>
    <xf numFmtId="164" fontId="27" fillId="0" borderId="0" applyAlignment="1" pivotButton="0" quotePrefix="0" xfId="1">
      <alignment horizontal="right"/>
    </xf>
    <xf numFmtId="166" fontId="7" fillId="0" borderId="0" pivotButton="0" quotePrefix="0" xfId="0"/>
    <xf numFmtId="164" fontId="3" fillId="0" borderId="0" pivotButton="0" quotePrefix="0" xfId="1"/>
    <xf numFmtId="0" fontId="26" fillId="0" borderId="1" pivotButton="0" quotePrefix="0" xfId="0"/>
    <xf numFmtId="0" fontId="0" fillId="0" borderId="0" pivotButton="0" quotePrefix="1" xfId="0"/>
    <xf numFmtId="164" fontId="4" fillId="0" borderId="0" applyAlignment="1" pivotButton="0" quotePrefix="0" xfId="1">
      <alignment horizontal="right"/>
    </xf>
    <xf numFmtId="0" fontId="4" fillId="0" borderId="0" applyAlignment="1" pivotButton="0" quotePrefix="0" xfId="0">
      <alignment horizontal="right"/>
    </xf>
    <xf numFmtId="0" fontId="20" fillId="3" borderId="0" pivotButton="0" quotePrefix="0" xfId="0"/>
    <xf numFmtId="164" fontId="20" fillId="3" borderId="0" pivotButton="0" quotePrefix="0" xfId="1"/>
    <xf numFmtId="0" fontId="13" fillId="3" borderId="0" pivotButton="0" quotePrefix="0" xfId="0"/>
    <xf numFmtId="164" fontId="0" fillId="0" borderId="1" pivotButton="0" quotePrefix="0" xfId="0"/>
    <xf numFmtId="0" fontId="3" fillId="0" borderId="1" applyAlignment="1" pivotButton="0" quotePrefix="0" xfId="0">
      <alignment horizontal="left"/>
    </xf>
    <xf numFmtId="0" fontId="36" fillId="0" borderId="0" pivotButton="0" quotePrefix="0" xfId="3"/>
    <xf numFmtId="3" fontId="10" fillId="0" borderId="0" pivotButton="0" quotePrefix="0" xfId="0"/>
    <xf numFmtId="166" fontId="0" fillId="0" borderId="0" pivotButton="0" quotePrefix="0" xfId="0"/>
    <xf numFmtId="0" fontId="35" fillId="0" borderId="0" pivotButton="0" quotePrefix="0" xfId="0"/>
    <xf numFmtId="164" fontId="5" fillId="0" borderId="0" applyAlignment="1" pivotButton="0" quotePrefix="0" xfId="1">
      <alignment horizontal="right"/>
    </xf>
    <xf numFmtId="0" fontId="6" fillId="0" borderId="0" pivotButton="0" quotePrefix="0" xfId="0"/>
    <xf numFmtId="164" fontId="6" fillId="0" borderId="0" pivotButton="0" quotePrefix="0" xfId="1"/>
    <xf numFmtId="0" fontId="3" fillId="0" borderId="0" pivotButton="0" quotePrefix="0" xfId="0"/>
    <xf numFmtId="0" fontId="0" fillId="4" borderId="0" pivotButton="0" quotePrefix="0" xfId="0"/>
    <xf numFmtId="0" fontId="37" fillId="0" borderId="1" applyAlignment="1" pivotButton="0" quotePrefix="0" xfId="0">
      <alignment horizontal="left"/>
    </xf>
    <xf numFmtId="0" fontId="37" fillId="0" borderId="1" pivotButton="0" quotePrefix="0" xfId="0"/>
    <xf numFmtId="164" fontId="37" fillId="0" borderId="1" pivotButton="0" quotePrefix="0" xfId="1"/>
    <xf numFmtId="164" fontId="37" fillId="0" borderId="1" pivotButton="0" quotePrefix="0" xfId="0"/>
    <xf numFmtId="164" fontId="8" fillId="0" borderId="0" pivotButton="0" quotePrefix="0" xfId="1"/>
    <xf numFmtId="164" fontId="7" fillId="0" borderId="0" pivotButton="0" quotePrefix="0" xfId="1"/>
    <xf numFmtId="0" fontId="6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pivotButton="0" quotePrefix="0" xfId="0"/>
    <xf numFmtId="0" fontId="0" fillId="5" borderId="0" pivotButton="0" quotePrefix="0" xfId="0"/>
    <xf numFmtId="166" fontId="23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15" fillId="0" borderId="0" pivotButton="0" quotePrefix="0" xfId="0"/>
    <xf numFmtId="168" fontId="0" fillId="0" borderId="0" pivotButton="0" quotePrefix="0" xfId="0"/>
    <xf numFmtId="168" fontId="3" fillId="0" borderId="1" pivotButton="0" quotePrefix="0" xfId="0"/>
    <xf numFmtId="166" fontId="7" fillId="0" borderId="0" pivotButton="0" quotePrefix="0" xfId="0"/>
  </cellXfs>
  <cellStyles count="4">
    <cellStyle name="Normal" xfId="0" builtinId="0"/>
    <cellStyle name="Comma" xfId="1" builtinId="3"/>
    <cellStyle name="Percent" xfId="2" builtinId="5"/>
    <cellStyle name="Hyperlink" xfId="3" builtinId="8"/>
  </cellStyles>
  <dxfs count="32"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b val="1"/>
        <color theme="0"/>
      </font>
      <fill>
        <patternFill>
          <bgColor rgb="FF002060"/>
        </patternFill>
      </fill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b val="1"/>
        <color theme="0"/>
      </font>
      <fill>
        <patternFill>
          <bgColor rgb="FF002060"/>
        </patternFill>
      </fill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b val="1"/>
        <color theme="0"/>
      </font>
      <fill>
        <patternFill>
          <bgColor rgb="FF002060"/>
        </patternFill>
      </fill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auto="1"/>
      </font>
      <fill>
        <patternFill>
          <bgColor auto="1"/>
        </patternFill>
      </fill>
      <border>
        <top style="thin">
          <color auto="1"/>
        </top>
        <vertical/>
        <horizontal/>
      </border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microsoft.com/office/2006/relationships/vbaProject" Target="vbaProject.bin" Id="rId12" /></Relationships>
</file>

<file path=xl/comments/comment1.xml><?xml version="1.0" encoding="utf-8"?>
<comments xmlns="http://schemas.openxmlformats.org/spreadsheetml/2006/main">
  <authors>
    <author>Muhammad Rafay</author>
  </authors>
  <commentList>
    <comment ref="B154" authorId="0" shapeId="0">
      <text>
        <t>– tells IRS the type of distribution (e.g., early, normal, rollover, etc.)</t>
      </text>
    </comment>
  </commentList>
</comments>
</file>

<file path=xl/comments/comment2.xml><?xml version="1.0" encoding="utf-8"?>
<comments xmlns="http://schemas.openxmlformats.org/spreadsheetml/2006/main">
  <authors>
    <author>Muhammad Rafay</author>
  </authors>
  <commentList>
    <comment ref="W5" authorId="0" shapeId="0">
      <text>
        <t xml:space="preserve">Allowed deduction = Lesser of:
20% of QBI, or
The greater of:
50% of W-2 wages, or
25% of W-2 wages + 2.5% of the UBIA of qualified property
</t>
      </text>
    </comment>
    <comment ref="W6" authorId="0" shapeId="0">
      <text>
        <t xml:space="preserve">The total amount of wages paid to the employees of the business including the owner. </t>
      </text>
    </comment>
  </commentList>
</comments>
</file>

<file path=xl/comments/comment3.xml><?xml version="1.0" encoding="utf-8"?>
<comments xmlns="http://schemas.openxmlformats.org/spreadsheetml/2006/main">
  <authors>
    <author>Muhammad Rafay</author>
  </authors>
  <commentList>
    <comment ref="H2" authorId="0" shapeId="0">
      <text>
        <t xml:space="preserve">Complete Form 4952 – Investment Interest Expense Deduction.
Line 1: Investment interest paid
Line 4g: Net investment income
Line 8: Deduction allowed (limited to your net investment income)
Transfer the result to Schedule A (Form 1040), Line 9.
</t>
      </text>
    </comment>
    <comment ref="B17" authorId="0" shapeId="0">
      <text>
        <t xml:space="preserve">State and local income taxes or sales taxes (choose one), plus
Real estate taxes, plus
Personal property taxes (like vehicle value-based taxes)
</t>
      </text>
    </comment>
    <comment ref="B29" authorId="0" shapeId="0">
      <text>
        <t xml:space="preserve">🚫 What You Cannot Deduct
The same rules as with the credit apply:
Foreign VAT or GST
Foreign property taxes
Foreign social security taxes
Refundable or optional taxes
</t>
      </text>
    </comment>
    <comment ref="H34" authorId="0" shapeId="0">
      <text>
        <t>100 minus because of not allowable for the losses of personal and casualty &amp; theft losses</t>
      </text>
    </comment>
  </commentList>
</comments>
</file>

<file path=xl/comments/comment4.xml><?xml version="1.0" encoding="utf-8"?>
<comments xmlns="http://schemas.openxmlformats.org/spreadsheetml/2006/main">
  <authors>
    <author>Muhammad Rafay</author>
  </authors>
  <commentList>
    <comment ref="H2" authorId="0" shapeId="0">
      <text>
        <t xml:space="preserve">The Earned Income Tax Credit (EITC) helps low- to moderate-income workers and families get a tax break. If you qualify, you can use the credit to reduce the taxes you owe – and maybe increase your refund.
This only applies to the Earned Income. 
Must meet the relationship test, hold a social security number, You cannot use the MFS and Musrt be a US resident for all year. 
-Relationship Test: Must be child, Foster child
-Residency Test: Must live more then half of the year.
-Age Test: Child should be below 19 years or below 24 if student 
-Joint Return Test: Child cannot file a joint return to claim test
</t>
      </text>
    </comment>
    <comment ref="U2" authorId="0" shapeId="0">
      <text>
        <t xml:space="preserve">Doesn't apply to the married filing separately. You will not eligible. Cannot be claimed as a dependent by another person.
Meet these additional requirements: In the same month, you or a family member:
- Have health insurance coverage through a Health Insurance Marketplace for which the share of the premium not covered by advance credit payments is paid by the due date of your return.
- Are not able to get affordable coverage through an eligible employer-sponsored plan that provides minimum value.
- Are not eligible for coverage through a government program, like Medicaid, Medicare, CHIP or TRICARE.
</t>
      </text>
    </comment>
    <comment ref="U3" authorId="0" shapeId="0">
      <text>
        <t xml:space="preserve">
- If your income is 150% of FPL, your expected contribution is about 0%–4% of income.
- At 300% FPL, it’s about 6%–8%.
- At 500% FPL, still eligible, but you’ll pay up to 8.5% of income — and the credit only covers the amount above that.
</t>
      </text>
    </comment>
    <comment ref="U30" authorId="0" shapeId="0">
      <text>
        <t xml:space="preserve">You can claim the credit for voluntary contributions you made during the year to:
Traditional IRA or Roth IRA 401(k), 403(b), 457(b), SIMPLE IRA, SEP, or other qualified employer plans ABLE account contributions (if you’re the designated beneficiary)
🔹 Maximum contributions considered for the credit = $2,000 ($4,000 if MFJ).
Credit is nonrefundable (can only reduce tax liability to $0, no refund).
You must be 18 or older, not a student, and not claimed as a dependent on someone else’s return.
</t>
      </text>
    </comment>
  </commentList>
</comments>
</file>

<file path=xl/ctrlProps/ctrlProp1.xml><?xml version="1.0" encoding="utf-8"?>
<formControlPr xmlns="http://schemas.microsoft.com/office/spreadsheetml/2009/9/main" objectType="Button" lockText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vml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vml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vmlDrawing4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N27"/>
  <sheetViews>
    <sheetView showGridLines="0" workbookViewId="0">
      <selection activeCell="D3" sqref="D3"/>
    </sheetView>
  </sheetViews>
  <sheetFormatPr baseColWidth="8" defaultColWidth="11.5546875" defaultRowHeight="15"/>
  <cols>
    <col width="50.44140625" customWidth="1" style="140" min="2" max="2"/>
    <col width="17" customWidth="1" style="140" min="3" max="3"/>
    <col width="31.33203125" customWidth="1" style="140" min="6" max="6"/>
    <col width="17.109375" bestFit="1" customWidth="1" style="140" min="10" max="10"/>
  </cols>
  <sheetData>
    <row r="2" ht="15.75" customHeight="1" s="140">
      <c r="B2" s="32" t="inlineStr">
        <is>
          <t>Taxpayer inputs Data</t>
        </is>
      </c>
      <c r="C2" s="37" t="n"/>
      <c r="D2" s="37" t="n"/>
      <c r="F2" s="32" t="inlineStr">
        <is>
          <t>Income Sources</t>
        </is>
      </c>
      <c r="G2" s="37" t="n"/>
      <c r="H2" s="37" t="n"/>
      <c r="I2" s="32" t="inlineStr">
        <is>
          <t>How many</t>
        </is>
      </c>
      <c r="J2" s="32" t="inlineStr">
        <is>
          <t>Active Participation</t>
        </is>
      </c>
      <c r="L2" s="32" t="inlineStr">
        <is>
          <t>Clear TAB</t>
        </is>
      </c>
      <c r="M2" s="32" t="n"/>
      <c r="N2" s="32" t="n"/>
    </row>
    <row r="3">
      <c r="B3" t="inlineStr">
        <is>
          <t xml:space="preserve">Filing Status </t>
        </is>
      </c>
      <c r="D3" s="23" t="inlineStr">
        <is>
          <t>MFJ</t>
        </is>
      </c>
      <c r="F3" t="inlineStr">
        <is>
          <t>W-2 Wages</t>
        </is>
      </c>
      <c r="H3" t="b">
        <v>1</v>
      </c>
      <c r="I3" t="n">
        <v>1</v>
      </c>
    </row>
    <row r="4">
      <c r="B4" t="inlineStr">
        <is>
          <t>Age</t>
        </is>
      </c>
      <c r="D4" s="24" t="n">
        <v>20</v>
      </c>
      <c r="F4" t="inlineStr">
        <is>
          <t>1099-R (Pensions &amp; annuities)</t>
        </is>
      </c>
      <c r="H4" t="b">
        <v>0</v>
      </c>
      <c r="I4" t="n">
        <v>0</v>
      </c>
    </row>
    <row r="5">
      <c r="B5" t="inlineStr">
        <is>
          <t>Standard Deduction</t>
        </is>
      </c>
      <c r="D5" s="41">
        <f>SUMIF(Calculations!B4:B8,D3,Calculations!C4:C8)+IF(D4&lt;Calculations!D3,0,SUMIFS(Calculations!D4:D8,Calculations!B4:B8,D3))+IF(D3=Calculations!B6,Calculations!D6,0)</f>
        <v/>
      </c>
      <c r="F5" t="inlineStr">
        <is>
          <t>1099-NEC</t>
        </is>
      </c>
      <c r="H5" t="b">
        <v>0</v>
      </c>
      <c r="I5" t="n">
        <v>0</v>
      </c>
    </row>
    <row r="6">
      <c r="B6" t="inlineStr">
        <is>
          <t>Itemized Deduction (Apply)?</t>
        </is>
      </c>
      <c r="D6" s="70" t="inlineStr">
        <is>
          <t>Yes</t>
        </is>
      </c>
      <c r="F6" t="inlineStr">
        <is>
          <t>1099-DIV</t>
        </is>
      </c>
      <c r="H6" t="b">
        <v>1</v>
      </c>
      <c r="I6" t="n">
        <v>2</v>
      </c>
    </row>
    <row r="7">
      <c r="B7" t="inlineStr">
        <is>
          <t>How many number of dependents you have?</t>
        </is>
      </c>
      <c r="D7" t="n">
        <v>1</v>
      </c>
      <c r="F7" t="inlineStr">
        <is>
          <t>1099-MISC</t>
        </is>
      </c>
      <c r="H7" t="b">
        <v>0</v>
      </c>
      <c r="I7" t="n">
        <v>0</v>
      </c>
    </row>
    <row r="8" ht="15.75" customHeight="1" s="140">
      <c r="B8" s="129" t="n"/>
      <c r="F8" t="inlineStr">
        <is>
          <t>1099-INT</t>
        </is>
      </c>
      <c r="H8" t="b">
        <v>1</v>
      </c>
      <c r="I8" t="n">
        <v>3</v>
      </c>
    </row>
    <row r="9">
      <c r="D9" s="41" t="n"/>
      <c r="F9" t="inlineStr">
        <is>
          <t>1099-B</t>
        </is>
      </c>
      <c r="H9" t="b">
        <v>1</v>
      </c>
      <c r="I9" t="n">
        <v>4</v>
      </c>
    </row>
    <row r="10">
      <c r="D10" s="41" t="n"/>
      <c r="F10" s="130" t="inlineStr">
        <is>
          <t>Schedule E (Schedule K-1 S Corp)</t>
        </is>
      </c>
      <c r="G10" s="130" t="n"/>
      <c r="H10" s="130" t="b">
        <v>0</v>
      </c>
      <c r="I10" s="130" t="n">
        <v>0</v>
      </c>
      <c r="J10" s="130" t="b">
        <v>1</v>
      </c>
    </row>
    <row r="11">
      <c r="F11" t="inlineStr">
        <is>
          <t>Schedule E (K-1 Partnership)</t>
        </is>
      </c>
      <c r="H11" t="b">
        <v>0</v>
      </c>
      <c r="I11" t="n">
        <v>0</v>
      </c>
      <c r="J11" t="b">
        <v>1</v>
      </c>
    </row>
    <row r="12">
      <c r="F12" t="inlineStr">
        <is>
          <t>Schedule E (Rental Income)</t>
        </is>
      </c>
      <c r="H12" t="b">
        <v>0</v>
      </c>
      <c r="I12" t="n">
        <v>0</v>
      </c>
    </row>
    <row r="13">
      <c r="F13" t="inlineStr">
        <is>
          <t>Schedule C (Sole Properietorship)</t>
        </is>
      </c>
      <c r="H13" t="b">
        <v>1</v>
      </c>
      <c r="I13" t="n">
        <v>1</v>
      </c>
    </row>
    <row r="14" ht="15.75" customHeight="1" s="140">
      <c r="B14" s="32" t="inlineStr">
        <is>
          <t>Deductions Qualifications</t>
        </is>
      </c>
      <c r="C14" s="32" t="n"/>
      <c r="D14" s="32" t="n"/>
      <c r="F14" t="inlineStr">
        <is>
          <t>Schedule F (Farming Income)</t>
        </is>
      </c>
      <c r="H14" t="b">
        <v>0</v>
      </c>
      <c r="I14" t="n">
        <v>0</v>
      </c>
    </row>
    <row r="15">
      <c r="F15" t="inlineStr">
        <is>
          <t>Schedule 1( Cancelled Debt)</t>
        </is>
      </c>
      <c r="H15" t="b">
        <v>0</v>
      </c>
    </row>
    <row r="16">
      <c r="F16" t="inlineStr">
        <is>
          <t>Schedule 1( Hobby Income)</t>
        </is>
      </c>
      <c r="H16" t="b">
        <v>0</v>
      </c>
    </row>
    <row r="17">
      <c r="F17" t="inlineStr">
        <is>
          <t>Schedule 1( Punitive Damages)</t>
        </is>
      </c>
      <c r="H17" t="b">
        <v>0</v>
      </c>
    </row>
    <row r="18">
      <c r="F18" t="inlineStr">
        <is>
          <t>Schedule 1( Court Awards &amp; prizes)</t>
        </is>
      </c>
      <c r="H18" t="b">
        <v>0</v>
      </c>
    </row>
    <row r="19">
      <c r="F19" t="inlineStr">
        <is>
          <t>Schedule 1(Personal property Rentals)</t>
        </is>
      </c>
      <c r="H19" t="b">
        <v>0</v>
      </c>
    </row>
    <row r="21" ht="15.75" customHeight="1" s="140">
      <c r="F21" s="32" t="inlineStr">
        <is>
          <t>Tax Credits Qualifications?</t>
        </is>
      </c>
      <c r="G21" s="32" t="n"/>
      <c r="H21" s="32" t="n"/>
      <c r="I21" s="32" t="n"/>
      <c r="J21" s="32" t="n"/>
    </row>
    <row r="23">
      <c r="C23" s="70" t="n"/>
    </row>
    <row r="24">
      <c r="C24" s="70" t="n"/>
    </row>
    <row r="25">
      <c r="C25" s="70" t="n"/>
    </row>
    <row r="26">
      <c r="C26" s="70" t="n"/>
    </row>
    <row r="27">
      <c r="C27" s="70" t="n"/>
    </row>
  </sheetData>
  <dataValidations count="3">
    <dataValidation sqref="D3" showDropDown="0" showInputMessage="1" showErrorMessage="1" allowBlank="1" type="list">
      <formula1>"Single, Head of Household, MFJ, MFS, QSS"</formula1>
    </dataValidation>
    <dataValidation sqref="D6" showDropDown="0" showInputMessage="1" showErrorMessage="1" allowBlank="1" type="list">
      <formula1>"Yes,No"</formula1>
    </dataValidation>
    <dataValidation sqref="D7" showDropDown="0" showInputMessage="1" showErrorMessage="1" allowBlank="1" type="list">
      <formula1>"0,1,2,3,4,5"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M60"/>
  <sheetViews>
    <sheetView showGridLines="0" topLeftCell="A19" workbookViewId="0">
      <selection activeCell="J43" sqref="J43"/>
    </sheetView>
  </sheetViews>
  <sheetFormatPr baseColWidth="8" defaultColWidth="11.5546875" defaultRowHeight="15" outlineLevelRow="1"/>
  <cols>
    <col width="3.6640625" customWidth="1" style="140" min="2" max="2"/>
    <col width="13.6640625" customWidth="1" style="140" min="3" max="3"/>
    <col width="17.77734375" customWidth="1" style="140" min="4" max="4"/>
    <col width="13.33203125" customWidth="1" style="140" min="5" max="5"/>
    <col width="11.44140625" bestFit="1" customWidth="1" style="140" min="6" max="6"/>
    <col width="20.6640625" customWidth="1" style="140" min="10" max="10"/>
    <col width="11.44140625" bestFit="1" customWidth="1" style="140" min="11" max="11"/>
    <col width="19" customWidth="1" style="140" min="13" max="13"/>
    <col width="16.44140625" bestFit="1" customWidth="1" style="140" min="14" max="14"/>
    <col width="19.109375" customWidth="1" style="140" min="17" max="17"/>
    <col width="17.44140625" bestFit="1" customWidth="1" style="140" min="18" max="18"/>
    <col width="16.44140625" customWidth="1" style="140" min="19" max="20"/>
    <col width="20" customWidth="1" style="140" min="22" max="22"/>
    <col width="11.44140625" bestFit="1" customWidth="1" style="140" min="23" max="23"/>
    <col width="15.77734375" customWidth="1" style="140" min="24" max="24"/>
    <col width="11.44140625" bestFit="1" customWidth="1" style="140" min="27" max="28"/>
    <col width="11.109375" bestFit="1" customWidth="1" style="140" min="39" max="40"/>
  </cols>
  <sheetData>
    <row r="2" ht="15.75" customHeight="1" s="140">
      <c r="B2" s="36" t="n"/>
      <c r="C2" s="137" t="inlineStr">
        <is>
          <t>Tax Year 2025</t>
        </is>
      </c>
    </row>
    <row r="3" ht="15.75" customHeight="1" s="140">
      <c r="C3" s="3" t="inlineStr">
        <is>
          <t>Income</t>
        </is>
      </c>
      <c r="E3" s="115" t="inlineStr">
        <is>
          <t>Annually</t>
        </is>
      </c>
      <c r="F3" s="116" t="inlineStr">
        <is>
          <t xml:space="preserve">Tax witheld </t>
        </is>
      </c>
    </row>
    <row r="4">
      <c r="I4" s="114" t="n"/>
    </row>
    <row r="5" ht="15.75" customHeight="1" s="140">
      <c r="B5" s="129" t="inlineStr">
        <is>
          <t>Earned &amp; Ordinary Income</t>
        </is>
      </c>
      <c r="I5" s="114" t="n"/>
    </row>
    <row r="6">
      <c r="C6" s="5">
        <f>IF(Inputs!H3=TRUE,Inputs!F3,"")</f>
        <v/>
      </c>
      <c r="D6" s="41" t="n"/>
      <c r="E6" s="41">
        <f>Income!L3</f>
        <v/>
      </c>
      <c r="F6" s="41">
        <f>SUM(Income!L4)</f>
        <v/>
      </c>
    </row>
    <row r="7">
      <c r="C7" s="5">
        <f>IF(Inputs!H13=TRUE,Inputs!F13,"")</f>
        <v/>
      </c>
      <c r="E7" s="14">
        <f>SUM(Income!L125:L143)</f>
        <v/>
      </c>
      <c r="F7" s="41" t="n"/>
      <c r="I7" s="114" t="n"/>
    </row>
    <row r="8">
      <c r="C8" s="5">
        <f>IF(Inputs!H14=TRUE,Inputs!F14,"")</f>
        <v/>
      </c>
    </row>
    <row r="9">
      <c r="C9">
        <f>IF(AND(Inputs!J10=TRUE,Inputs!J10=TRUE),Inputs!F10,"")</f>
        <v/>
      </c>
      <c r="E9" s="41">
        <f>Income!L55</f>
        <v/>
      </c>
    </row>
    <row r="10">
      <c r="C10">
        <f>IF(AND(Inputs!J11=TRUE,Inputs!J11=TRUE),Inputs!F11,"")</f>
        <v/>
      </c>
      <c r="E10" s="41" t="n"/>
    </row>
    <row r="11">
      <c r="C11" s="5">
        <f>IF(Inputs!H6=TRUE,Inputs!F6,"")</f>
        <v/>
      </c>
      <c r="E11" s="41">
        <f>Income!L17+Income!R17+Income!X17</f>
        <v/>
      </c>
    </row>
    <row r="12" ht="15.75" customHeight="1" s="140">
      <c r="C12" s="15" t="inlineStr">
        <is>
          <t>Total</t>
        </is>
      </c>
      <c r="D12" s="15" t="n"/>
      <c r="E12" s="52">
        <f>SUM(E6:E11)</f>
        <v/>
      </c>
      <c r="F12" s="16">
        <f>SUM(F6:F8)</f>
        <v/>
      </c>
    </row>
    <row r="13" ht="15.75" customHeight="1" s="140">
      <c r="C13" s="129" t="n"/>
      <c r="D13" s="129" t="n"/>
      <c r="E13" s="42" t="n"/>
      <c r="F13" s="42" t="n"/>
    </row>
    <row r="14" ht="15.75" customHeight="1" s="140">
      <c r="B14" s="129" t="inlineStr">
        <is>
          <t>Passive Income</t>
        </is>
      </c>
    </row>
    <row r="15">
      <c r="C15">
        <f>IF(Inputs!H12=TRUE,Inputs!F12,"")</f>
        <v/>
      </c>
    </row>
    <row r="16">
      <c r="C16">
        <f>IF(AND(Inputs!H10=TRUE,Inputs!J10=FALSE),Inputs!F10,"")</f>
        <v/>
      </c>
    </row>
    <row r="17">
      <c r="C17">
        <f>IF(AND(Inputs!H11=TRUE,Inputs!J11=FALSE),Inputs!F11,"")</f>
        <v/>
      </c>
    </row>
    <row r="18" ht="15.75" customHeight="1" s="140">
      <c r="C18" s="15" t="inlineStr">
        <is>
          <t>Total</t>
        </is>
      </c>
      <c r="D18" s="10" t="n"/>
      <c r="E18" s="10" t="n"/>
      <c r="F18" s="10" t="n"/>
    </row>
    <row r="19" ht="15.75" customHeight="1" s="140">
      <c r="C19" s="129" t="n"/>
    </row>
    <row r="20" ht="15.75" customHeight="1" s="140">
      <c r="B20" s="129" t="inlineStr">
        <is>
          <t>Investment Income</t>
        </is>
      </c>
    </row>
    <row r="21">
      <c r="C21">
        <f>IF(Inputs!H6=TRUE,"Dividend Income (Schedule B)","")</f>
        <v/>
      </c>
      <c r="E21" s="41" t="n"/>
      <c r="F21" s="14" t="n"/>
    </row>
    <row r="22">
      <c r="C22">
        <f>IF(Inputs!H9=TRUE,"Gain/Loss on Stocks (Schedule D)","")</f>
        <v/>
      </c>
      <c r="E22" s="41">
        <f>SUM(Income!L50,Income!R50,Income!X50,Income!AD50)</f>
        <v/>
      </c>
      <c r="F22" s="14" t="n"/>
    </row>
    <row r="23">
      <c r="C23">
        <f>IF(Inputs!H8=TRUE,"Interest Income","")</f>
        <v/>
      </c>
      <c r="E23" s="41">
        <f>Income!L26+Income!R26+Income!X26</f>
        <v/>
      </c>
      <c r="F23" s="14" t="n"/>
    </row>
    <row r="24">
      <c r="C24">
        <f>IF(Inputs!H4=TRUE,"Retirement Distribution","")</f>
        <v/>
      </c>
      <c r="E24" s="41">
        <f>ROUND(Income!L34-Income!L35,0)</f>
        <v/>
      </c>
      <c r="F24" s="41">
        <f>Income!L36</f>
        <v/>
      </c>
    </row>
    <row r="25" ht="15.75" customHeight="1" s="140">
      <c r="C25" s="15" t="inlineStr">
        <is>
          <t>Total</t>
        </is>
      </c>
      <c r="D25" s="10" t="n"/>
      <c r="E25" s="52">
        <f>SUM(E21:E24)</f>
        <v/>
      </c>
      <c r="F25" s="52">
        <f>SUM(F21:F24)</f>
        <v/>
      </c>
    </row>
    <row r="26">
      <c r="C26" s="76" t="inlineStr">
        <is>
          <t>Other Income</t>
        </is>
      </c>
      <c r="D26" s="76" t="n"/>
      <c r="E26" s="135" t="n">
        <v>2120</v>
      </c>
      <c r="F26" s="76" t="n"/>
    </row>
    <row r="27" hidden="1" outlineLevel="1" ht="15.75" customHeight="1" s="140">
      <c r="B27" s="129" t="inlineStr">
        <is>
          <t>Other Income</t>
        </is>
      </c>
      <c r="C27" s="129" t="n"/>
    </row>
    <row r="28" hidden="1" outlineLevel="1" ht="15.75" customHeight="1" s="140">
      <c r="B28" s="129" t="n"/>
      <c r="C28" s="76">
        <f>Inputs!F15</f>
        <v/>
      </c>
    </row>
    <row r="29" hidden="1" outlineLevel="1" ht="15.75" customHeight="1" s="140">
      <c r="B29" s="129" t="n"/>
      <c r="C29" s="76">
        <f>Inputs!F16</f>
        <v/>
      </c>
    </row>
    <row r="30" hidden="1" outlineLevel="1" ht="15.75" customHeight="1" s="140">
      <c r="B30" s="129" t="n"/>
      <c r="C30" s="76">
        <f>Inputs!F17</f>
        <v/>
      </c>
    </row>
    <row r="31" hidden="1" outlineLevel="1" s="140">
      <c r="C31" s="76">
        <f>Inputs!F18</f>
        <v/>
      </c>
    </row>
    <row r="32" hidden="1" outlineLevel="1" s="140">
      <c r="C32" s="76">
        <f>Inputs!F19</f>
        <v/>
      </c>
    </row>
    <row r="33" collapsed="1" ht="15.75" customHeight="1" s="140">
      <c r="C33" s="7" t="inlineStr">
        <is>
          <t>Total</t>
        </is>
      </c>
      <c r="D33" s="7" t="n"/>
      <c r="E33" s="8">
        <f>SUM(E25,E18,E12,E28:E32,E26)</f>
        <v/>
      </c>
      <c r="F33" s="8">
        <f>SUM(F25,F18,F12,F28:F32)</f>
        <v/>
      </c>
      <c r="H33" s="14" t="n"/>
    </row>
    <row r="34">
      <c r="C34" s="5" t="n"/>
      <c r="E34" s="41" t="n"/>
      <c r="H34" s="31" t="n"/>
    </row>
    <row r="35">
      <c r="C35" s="5" t="n"/>
      <c r="E35" s="41" t="n"/>
    </row>
    <row r="36">
      <c r="C36" s="5" t="inlineStr">
        <is>
          <t>Self employment calculation for taxes</t>
        </is>
      </c>
      <c r="E36" s="41">
        <f>MAX(SUM(E6:E8)*92.35%,0)</f>
        <v/>
      </c>
    </row>
    <row r="37" ht="15.75" customHeight="1" s="140">
      <c r="C37" s="6" t="inlineStr">
        <is>
          <t>Self employment tax.</t>
        </is>
      </c>
      <c r="D37" s="7" t="n"/>
      <c r="E37" s="8">
        <f>E36*15.3%</f>
        <v/>
      </c>
      <c r="F37" s="7" t="n"/>
    </row>
    <row r="38">
      <c r="C38" s="5" t="inlineStr">
        <is>
          <t>Self employment tax 50%</t>
        </is>
      </c>
      <c r="E38" s="41">
        <f>E37*50%</f>
        <v/>
      </c>
    </row>
    <row r="39">
      <c r="C39" s="5" t="inlineStr">
        <is>
          <t>AGI</t>
        </is>
      </c>
      <c r="E39" s="41">
        <f>E33</f>
        <v/>
      </c>
    </row>
    <row r="40">
      <c r="C40" s="5" t="inlineStr">
        <is>
          <t xml:space="preserve">Standard deduction </t>
        </is>
      </c>
      <c r="E40" s="41">
        <f>Inputs!D5</f>
        <v/>
      </c>
    </row>
    <row r="41" ht="15.75" customHeight="1" s="140">
      <c r="C41" s="121" t="inlineStr">
        <is>
          <t>Taxable income</t>
        </is>
      </c>
      <c r="D41" s="15" t="n"/>
      <c r="E41" s="52">
        <f>IF((E39-E40)&lt;=0,0,E39-E40)</f>
        <v/>
      </c>
      <c r="F41" s="120" t="n"/>
      <c r="J41" s="32" t="inlineStr">
        <is>
          <t>Capital Gains Tax Calculations</t>
        </is>
      </c>
      <c r="K41" s="37" t="n"/>
      <c r="L41" s="37" t="n"/>
      <c r="M41" s="37" t="n"/>
    </row>
    <row r="42">
      <c r="C42" s="5" t="n"/>
      <c r="E42" s="41" t="n"/>
    </row>
    <row r="43" ht="15.75" customHeight="1" s="140">
      <c r="C43" s="18" t="inlineStr">
        <is>
          <t>Minimum</t>
        </is>
      </c>
      <c r="D43" s="18" t="inlineStr">
        <is>
          <t>Maximum</t>
        </is>
      </c>
      <c r="E43" s="19" t="inlineStr">
        <is>
          <t>Rate</t>
        </is>
      </c>
      <c r="F43" s="18" t="inlineStr">
        <is>
          <t>Amount</t>
        </is>
      </c>
      <c r="J43" s="129" t="inlineStr">
        <is>
          <t>Long term Capital Gains</t>
        </is>
      </c>
    </row>
    <row r="44">
      <c r="C44" s="20">
        <f>IF(Inputs!$D$3=Calculations!$L$2,Calculations!L4,IF(Inputs!$D$3=Calculations!$H$2,Calculations!H4,IF(Inputs!$D$3=Calculations!$P$2,Calculations!P4,IF(Inputs!$D$3=Calculations!$T$2,Calculations!T4,IF(Inputs!$D$3=Calculations!$X$2,Calculations!X4,0)))))</f>
        <v/>
      </c>
      <c r="D44" s="20">
        <f>IF(Inputs!$D$3=Calculations!$L$2,Calculations!M4,IF(Inputs!$D$3=Calculations!$H$2,Calculations!I4,IF(Inputs!$D$3=Calculations!$P$2,Calculations!Q4,IF(Inputs!$D$3=Calculations!$T$2,Calculations!U4,IF(Inputs!$D$3=Calculations!$X$2,Calculations!Y4,0)))))</f>
        <v/>
      </c>
      <c r="E44" s="12" t="n">
        <v>0.1</v>
      </c>
      <c r="F44" s="41">
        <f>IF(IF((D44-C44)&lt;(($E$41-$M$48)-C44),(D44-C44)*E44,(($E$41-$M$48)-C44)*E44)&lt;0,0,IF((D44-C44)&lt;(($E$41-$M$48)-C44),(D44-C44)*E44,(($E$41-$M$48)-C44)*E44))</f>
        <v/>
      </c>
      <c r="J44" t="inlineStr">
        <is>
          <t>(D) Long-term showing basis was reported to the IRS</t>
        </is>
      </c>
      <c r="M44" s="41">
        <f>IF(Income!L46='Tax Calculations'!J44,Income!L50,IF('Tax Calculations'!J44=Income!R46,Income!R50,IF('Tax Calculations'!J44=Income!X46,Income!X50,IF('Tax Calculations'!J44=Income!AD46,Income!AD50,0))))</f>
        <v/>
      </c>
    </row>
    <row r="45">
      <c r="C45" s="20">
        <f>IF(Inputs!$D$3=Calculations!$L$2,Calculations!L5,IF(Inputs!$D$3=Calculations!$H$2,Calculations!H5,IF(Inputs!$D$3=Calculations!$P$2,Calculations!P5,IF(Inputs!$D$3=Calculations!$T$2,Calculations!T5,IF(Inputs!$D$3=Calculations!$X$2,Calculations!X5,0)))))</f>
        <v/>
      </c>
      <c r="D45" s="20">
        <f>IF(Inputs!$D$3=Calculations!$L$2,Calculations!M5,IF(Inputs!$D$3=Calculations!$H$2,Calculations!I5,IF(Inputs!$D$3=Calculations!$P$2,Calculations!Q5,IF(Inputs!$D$3=Calculations!$T$2,Calculations!U5,IF(Inputs!$D$3=Calculations!$X$2,Calculations!Y5,0)))))</f>
        <v/>
      </c>
      <c r="E45" s="12" t="n">
        <v>0.12</v>
      </c>
      <c r="F45" s="41">
        <f>IF(IF((D45-C45)&lt;(($E$41-$M$48)-C45),(D45-C45)*E45,(($E$41-$M$48)-C45)*E45)&lt;0,0,IF((D45-C45)&lt;(($E$41-$M$48)-C45),(D45-C45)*E45,(($E$41-$M$48)-C45)*E45))</f>
        <v/>
      </c>
      <c r="J45" t="inlineStr">
        <is>
          <t>(E) Long-term showing basis wasn't reported to the IRS</t>
        </is>
      </c>
      <c r="K45" s="41" t="n"/>
      <c r="M45" s="41">
        <f>IF(Income!L46='Tax Calculations'!J45,Income!L50,IF('Tax Calculations'!J45=Income!R46,Income!R50,IF('Tax Calculations'!J45=Income!X46,Income!X50,IF('Tax Calculations'!J45=Income!AD46,Income!AD50,0))))</f>
        <v/>
      </c>
    </row>
    <row r="46" ht="15.75" customHeight="1" s="140">
      <c r="C46" s="20">
        <f>IF(Inputs!$D$3=Calculations!$L$2,Calculations!L6,IF(Inputs!$D$3=Calculations!$H$2,Calculations!H6,IF(Inputs!$D$3=Calculations!$P$2,Calculations!P6,IF(Inputs!$D$3=Calculations!$T$2,Calculations!T6,IF(Inputs!$D$3=Calculations!$X$2,Calculations!X6,0)))))</f>
        <v/>
      </c>
      <c r="D46" s="20">
        <f>IF(Inputs!$D$3=Calculations!$L$2,Calculations!M6,IF(Inputs!$D$3=Calculations!$H$2,Calculations!I6,IF(Inputs!$D$3=Calculations!$P$2,Calculations!Q6,IF(Inputs!$D$3=Calculations!$T$2,Calculations!U6,IF(Inputs!$D$3=Calculations!$X$2,Calculations!Y6,0)))))</f>
        <v/>
      </c>
      <c r="E46" s="12" t="n">
        <v>0.22</v>
      </c>
      <c r="F46" s="41">
        <f>IF(IF((D46-C46)&lt;(($E$41-$M$48)-C46),(D46-C46)*E46,(($E$41-$M$48)-C46)*E46)&lt;0,0,IF((D46-C46)&lt;(($E$41-$M$48)-C46),(D46-C46)*E46,(($E$41-$M$48)-C46)*E46))</f>
        <v/>
      </c>
      <c r="J46" s="52" t="inlineStr">
        <is>
          <t>Total Long term Gains</t>
        </is>
      </c>
      <c r="K46" s="52" t="n"/>
      <c r="L46" s="15" t="n"/>
      <c r="M46" s="52">
        <f>SUM(M44:M45)</f>
        <v/>
      </c>
    </row>
    <row r="47">
      <c r="C47" s="20">
        <f>IF(Inputs!$D$3=Calculations!$L$2,Calculations!L7,IF(Inputs!$D$3=Calculations!$H$2,Calculations!H7,IF(Inputs!$D$3=Calculations!$P$2,Calculations!P7,IF(Inputs!$D$3=Calculations!$T$2,Calculations!T7,IF(Inputs!$D$3=Calculations!$X$2,Calculations!X7,0)))))</f>
        <v/>
      </c>
      <c r="D47" s="20">
        <f>IF(Inputs!$D$3=Calculations!$L$2,Calculations!M7,IF(Inputs!$D$3=Calculations!$H$2,Calculations!I7,IF(Inputs!$D$3=Calculations!$P$2,Calculations!Q7,IF(Inputs!$D$3=Calculations!$T$2,Calculations!U7,IF(Inputs!$D$3=Calculations!$X$2,Calculations!Y7,0)))))</f>
        <v/>
      </c>
      <c r="E47" s="12" t="n">
        <v>0.24</v>
      </c>
      <c r="F47" s="41">
        <f>IF(IF((D47-C47)&lt;(($E$41-$M$48)-C47),(D47-C47)*E47,(($E$41-$M$48)-C47)*E47)&lt;0,0,IF((D47-C47)&lt;(($E$41-$M$48)-C47),(D47-C47)*E47,(($E$41-$M$48)-C47)*E47))</f>
        <v/>
      </c>
      <c r="J47" t="inlineStr">
        <is>
          <t>Qualified Dividends</t>
        </is>
      </c>
      <c r="M47" s="41">
        <f>Income!L18+Income!R18+Income!X18</f>
        <v/>
      </c>
    </row>
    <row r="48" ht="15.75" customHeight="1" s="140">
      <c r="C48" s="20">
        <f>IF(Inputs!$D$3=Calculations!$L$2,Calculations!L8,IF(Inputs!$D$3=Calculations!$H$2,Calculations!H8,IF(Inputs!$D$3=Calculations!$P$2,Calculations!P8,IF(Inputs!$D$3=Calculations!$T$2,Calculations!T8,IF(Inputs!$D$3=Calculations!$X$2,Calculations!X8,0)))))</f>
        <v/>
      </c>
      <c r="D48" s="20">
        <f>IF(Inputs!$D$3=Calculations!$L$2,Calculations!M8,IF(Inputs!$D$3=Calculations!$H$2,Calculations!I8,IF(Inputs!$D$3=Calculations!$P$2,Calculations!Q8,IF(Inputs!$D$3=Calculations!$T$2,Calculations!U8,IF(Inputs!$D$3=Calculations!$X$2,Calculations!Y8,0)))))</f>
        <v/>
      </c>
      <c r="E48" s="12" t="n">
        <v>0.32</v>
      </c>
      <c r="F48" s="41">
        <f>IF(IF((D48-C48)&lt;(($E$41-$M$48)-C48),(D48-C48)*E48,(($E$41-$M$48)-C48)*E48)&lt;0,0,IF((D48-C48)&lt;(($E$41-$M$48)-C48),(D48-C48)*E48,(($E$41-$M$48)-C48)*E48))</f>
        <v/>
      </c>
      <c r="J48" s="52" t="inlineStr">
        <is>
          <t>Total Capital Gains</t>
        </is>
      </c>
      <c r="K48" s="52" t="n"/>
      <c r="L48" s="15" t="n"/>
      <c r="M48" s="16">
        <f>SUM(M46:M47)</f>
        <v/>
      </c>
    </row>
    <row r="49">
      <c r="C49" s="20">
        <f>IF(Inputs!$D$3=Calculations!$L$2,Calculations!L9,IF(Inputs!$D$3=Calculations!$H$2,Calculations!H9,IF(Inputs!$D$3=Calculations!$P$2,Calculations!P9,IF(Inputs!$D$3=Calculations!$T$2,Calculations!T9,IF(Inputs!$D$3=Calculations!$X$2,Calculations!X9,0)))))</f>
        <v/>
      </c>
      <c r="D49" s="20">
        <f>IF(Inputs!$D$3=Calculations!$L$2,Calculations!M9,IF(Inputs!$D$3=Calculations!$H$2,Calculations!I9,IF(Inputs!$D$3=Calculations!$P$2,Calculations!Q9,IF(Inputs!$D$3=Calculations!$T$2,Calculations!U9,IF(Inputs!$D$3=Calculations!$X$2,Calculations!Y9,0)))))</f>
        <v/>
      </c>
      <c r="E49" s="12" t="n">
        <v>0.35</v>
      </c>
      <c r="F49" s="41">
        <f>IF(IF((D49-C49)&lt;(($E$41-$M$48)-C49),(D49-C49)*E49,(($E$41-$M$48)-C49)*E49)&lt;0,0,IF((D49-C49)&lt;(($E$41-$M$48)-C49),(D49-C49)*E49,(($E$41-$M$48)-C49)*E49))</f>
        <v/>
      </c>
    </row>
    <row r="50" ht="15.75" customHeight="1" s="140">
      <c r="C50" s="20">
        <f>IF(Inputs!$D$3=Calculations!$L$2,Calculations!L10,Calculations!H10)</f>
        <v/>
      </c>
      <c r="D50" s="20" t="n"/>
      <c r="E50" s="12" t="n">
        <v>0.37</v>
      </c>
      <c r="F50" s="41">
        <f>IF(IF((D50-C50)&lt;(($E$41-$M$48)-C50),(D50-C50)*E50,(($E$41-$M$48)-C50)*E50)&lt;0,0,IF((D50-C50)&lt;(($E$41-$M$48)-C50),(D50-C50)*E50,(($E$41-$M$48)-C50)*E50))</f>
        <v/>
      </c>
      <c r="J50" s="18" t="inlineStr">
        <is>
          <t>Minimum</t>
        </is>
      </c>
      <c r="K50" s="18" t="inlineStr">
        <is>
          <t>Maximum</t>
        </is>
      </c>
      <c r="L50" s="19" t="inlineStr">
        <is>
          <t>Rate</t>
        </is>
      </c>
      <c r="M50" s="18" t="inlineStr">
        <is>
          <t>Amount</t>
        </is>
      </c>
    </row>
    <row r="51" ht="15.75" customHeight="1" s="140">
      <c r="C51" s="9" t="inlineStr">
        <is>
          <t>Total Net taxes</t>
        </is>
      </c>
      <c r="D51" s="10" t="n"/>
      <c r="E51" s="11" t="n"/>
      <c r="F51" s="13">
        <f>SUM(F44:F50)</f>
        <v/>
      </c>
      <c r="G51" s="31" t="n"/>
      <c r="J51" s="41">
        <f>IF(Inputs!$D$3=Calculations!$H$22,Calculations!H24,IF(Inputs!$D$3=Calculations!$L$22,Calculations!L24,IF(Inputs!$D$3=Calculations!$P$22,Calculations!O24,IF(Calculations!$T$22=Inputs!$D$3,Calculations!T24,IF(Inputs!$D$3=Calculations!$X$22,Calculations!X24,0)))))</f>
        <v/>
      </c>
      <c r="K51" s="41">
        <f>IF(Inputs!$D$3=Calculations!$H$22,Calculations!I24,IF(Inputs!$D$3=Calculations!$L$22,Calculations!M24,IF(Inputs!$D$3=Calculations!$P$22,Calculations!P24,IF(Calculations!$T$22=Inputs!$D$3,Calculations!U24,IF(Inputs!$D$3=Calculations!$X$22,Calculations!Y24,0)))))</f>
        <v/>
      </c>
      <c r="L51" s="12" t="n">
        <v>0</v>
      </c>
      <c r="M51" s="41">
        <f>(IF((K51-J51)&gt;($E$41-J51),M48*L51,0))</f>
        <v/>
      </c>
    </row>
    <row r="52" ht="15.75" customHeight="1" s="140">
      <c r="C52" s="5" t="inlineStr">
        <is>
          <t>Capital Gains Tax</t>
        </is>
      </c>
      <c r="E52" s="41" t="n"/>
      <c r="F52" s="112">
        <f>SUM(M51:M53)</f>
        <v/>
      </c>
      <c r="G52" s="31" t="n"/>
      <c r="J52" s="41">
        <f>IF(Inputs!$D$3=Calculations!$H$22,Calculations!H25,IF(Inputs!$D$3=Calculations!$L$22,Calculations!L25,IF(Inputs!$D$3=Calculations!$P$22,Calculations!O25,IF(Calculations!$T$22=Inputs!$D$3,Calculations!T25,IF(Inputs!$D$3=Calculations!$X$22,Calculations!X25,0)))))</f>
        <v/>
      </c>
      <c r="K52" s="41">
        <f>IF(Inputs!$D$3=Calculations!$H$22,Calculations!I25,IF(Inputs!$D$3=Calculations!$L$22,Calculations!M25,IF(Inputs!$D$3=Calculations!$P$22,Calculations!P25,IF(Calculations!$T$22=Inputs!$D$3,Calculations!U25,IF(Inputs!$D$3=Calculations!$X$22,Calculations!Y25,0)))))</f>
        <v/>
      </c>
      <c r="L52" s="12" t="n">
        <v>0.15</v>
      </c>
      <c r="M52" s="41">
        <f>(IF(OR((K52-J52)&lt;($E$41-J52),E41&lt;&gt;0),M48*L52,IF(E41=0,0,0)))</f>
        <v/>
      </c>
    </row>
    <row r="53" ht="15.75" customHeight="1" s="140">
      <c r="C53" s="5" t="inlineStr">
        <is>
          <t>FICA IF Employee</t>
        </is>
      </c>
      <c r="E53" s="41" t="n"/>
      <c r="F53" s="25">
        <f>Calculations!C19</f>
        <v/>
      </c>
      <c r="J53" s="41">
        <f>IF(Inputs!$D$3=Calculations!$H$22,Calculations!H26,IF(Inputs!$D$3=Calculations!$L$22,Calculations!L26,IF(Inputs!$D$3=Calculations!$P$22,Calculations!O26,IF(Calculations!$T$22=Inputs!$D$3,Calculations!T26,IF(Inputs!$D$3=Calculations!$X$22,Calculations!X26,0)))))</f>
        <v/>
      </c>
      <c r="K53" s="41">
        <f>IF(Inputs!$D$3=Calculations!$H$22,Calculations!I26,IF(Inputs!$D$3=Calculations!$L$22,Calculations!M26,IF(Inputs!$D$3=Calculations!$P$22,Calculations!P26,IF(Calculations!$T$22=Inputs!$D$3,Calculations!U26,IF(Inputs!$D$3=Calculations!$X$22,Calculations!Y26,0)))))</f>
        <v/>
      </c>
      <c r="L53" s="12" t="n">
        <v>0.2</v>
      </c>
      <c r="M53" s="41">
        <f>+(IF((J53-K53)&lt;($E$41-J53),M48*L53,0))</f>
        <v/>
      </c>
    </row>
    <row r="54" ht="15.75" customHeight="1" s="140">
      <c r="C54" s="6" t="inlineStr">
        <is>
          <t>Total taxes</t>
        </is>
      </c>
      <c r="D54" s="7" t="n"/>
      <c r="E54" s="8" t="n"/>
      <c r="F54" s="13">
        <f>SUM(F51:F53)</f>
        <v/>
      </c>
      <c r="J54" s="50" t="n"/>
      <c r="K54" s="122" t="n"/>
      <c r="L54" s="122" t="n"/>
      <c r="M54" s="122" t="n"/>
    </row>
    <row r="55" ht="15.75" customHeight="1" s="140">
      <c r="C55" s="5" t="inlineStr">
        <is>
          <t>Withheld</t>
        </is>
      </c>
      <c r="F55" s="14">
        <f>F33+Income!L6+Income!L8</f>
        <v/>
      </c>
      <c r="G55" s="14" t="n"/>
      <c r="H55" s="31" t="n"/>
      <c r="J55" s="50" t="n"/>
      <c r="K55" s="122" t="n"/>
      <c r="L55" s="122" t="n"/>
      <c r="M55" s="122" t="n"/>
    </row>
    <row r="56" ht="15.75" customHeight="1" s="140">
      <c r="C56" s="39" t="inlineStr">
        <is>
          <t>Tax Credits</t>
        </is>
      </c>
      <c r="D56" s="4" t="n"/>
      <c r="E56" s="38" t="n"/>
      <c r="F56" s="25">
        <f>SUM('Tax Credits'!F18)</f>
        <v/>
      </c>
      <c r="J56" s="50" t="n"/>
      <c r="K56" s="122" t="n"/>
      <c r="L56" s="122" t="n"/>
      <c r="M56" s="122" t="n"/>
    </row>
    <row r="57" ht="15.75" customHeight="1" s="140">
      <c r="C57" s="131" t="inlineStr">
        <is>
          <t>Total Payments</t>
        </is>
      </c>
      <c r="D57" s="132" t="n"/>
      <c r="E57" s="133" t="n"/>
      <c r="F57" s="134">
        <f>SUM(F55:F56)</f>
        <v/>
      </c>
      <c r="J57" s="50" t="n"/>
      <c r="K57" s="122" t="n"/>
      <c r="L57" s="122" t="n"/>
      <c r="M57" s="122" t="n"/>
    </row>
    <row r="58" ht="15.75" customHeight="1" s="140">
      <c r="C58" s="5" t="inlineStr">
        <is>
          <t>Self employment taxes</t>
        </is>
      </c>
      <c r="E58" s="41" t="n"/>
      <c r="F58" s="14">
        <f>E37</f>
        <v/>
      </c>
      <c r="J58" s="50" t="n"/>
      <c r="K58" s="122" t="n"/>
      <c r="L58" s="122" t="n"/>
      <c r="M58" s="122" t="n"/>
    </row>
    <row r="59" ht="15.75" customHeight="1" s="140">
      <c r="C59" s="35" t="inlineStr">
        <is>
          <t>Estimated taxes</t>
        </is>
      </c>
      <c r="F59" s="14" t="n"/>
      <c r="J59" s="50" t="n"/>
      <c r="K59" s="122" t="n"/>
      <c r="L59" s="122" t="n"/>
      <c r="M59" s="122" t="n"/>
    </row>
    <row r="60" ht="15.75" customHeight="1" s="140">
      <c r="C60" s="34" t="inlineStr">
        <is>
          <t>Tax Refund/ Tax Payable</t>
        </is>
      </c>
      <c r="D60" s="15" t="n"/>
      <c r="E60" s="15" t="n"/>
      <c r="F60" s="16">
        <f>F57-F58</f>
        <v/>
      </c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Z31"/>
  <sheetViews>
    <sheetView showGridLines="0" workbookViewId="0">
      <selection activeCell="B13" sqref="B13"/>
    </sheetView>
  </sheetViews>
  <sheetFormatPr baseColWidth="8" defaultColWidth="11.5546875" defaultRowHeight="15"/>
  <cols>
    <col width="21.109375" customWidth="1" style="140" min="2" max="2"/>
    <col width="18.21875" bestFit="1" customWidth="1" style="140" min="3" max="3"/>
    <col width="17.109375" customWidth="1" style="140" min="9" max="9"/>
  </cols>
  <sheetData>
    <row r="2" ht="15.75" customHeight="1" s="140">
      <c r="G2" s="129" t="inlineStr">
        <is>
          <t>Tax Slabs</t>
        </is>
      </c>
      <c r="H2" s="138" t="inlineStr">
        <is>
          <t>Single</t>
        </is>
      </c>
      <c r="K2" s="129" t="inlineStr">
        <is>
          <t>Tax Slabs</t>
        </is>
      </c>
      <c r="L2" s="138" t="inlineStr">
        <is>
          <t>MFJ</t>
        </is>
      </c>
      <c r="O2" s="129" t="inlineStr">
        <is>
          <t>Tax Slabs</t>
        </is>
      </c>
      <c r="P2" s="138" t="inlineStr">
        <is>
          <t>MFS</t>
        </is>
      </c>
      <c r="S2" s="129" t="inlineStr">
        <is>
          <t>Tax Slabs</t>
        </is>
      </c>
      <c r="T2" s="138" t="inlineStr">
        <is>
          <t>QSS</t>
        </is>
      </c>
      <c r="W2" s="129" t="inlineStr">
        <is>
          <t>Tax Slabs</t>
        </is>
      </c>
      <c r="X2" s="138" t="inlineStr">
        <is>
          <t>Head of Household</t>
        </is>
      </c>
    </row>
    <row r="3" ht="15.75" customHeight="1" s="140">
      <c r="B3" s="32" t="inlineStr">
        <is>
          <t xml:space="preserve">Filing Status </t>
        </is>
      </c>
      <c r="C3" s="32" t="inlineStr">
        <is>
          <t>Standard Deduction</t>
        </is>
      </c>
      <c r="D3" s="33" t="inlineStr">
        <is>
          <t>65 or blind</t>
        </is>
      </c>
      <c r="E3" s="18" t="n"/>
      <c r="G3" s="32" t="inlineStr">
        <is>
          <t>Rate</t>
        </is>
      </c>
      <c r="H3" s="32" t="inlineStr">
        <is>
          <t>Minimum</t>
        </is>
      </c>
      <c r="I3" s="32" t="inlineStr">
        <is>
          <t>Maximum</t>
        </is>
      </c>
      <c r="K3" s="32" t="inlineStr">
        <is>
          <t>Rate</t>
        </is>
      </c>
      <c r="L3" s="32" t="inlineStr">
        <is>
          <t>Minimum</t>
        </is>
      </c>
      <c r="M3" s="32" t="inlineStr">
        <is>
          <t>Maximum</t>
        </is>
      </c>
      <c r="O3" s="32" t="inlineStr">
        <is>
          <t>Rate</t>
        </is>
      </c>
      <c r="P3" s="32" t="inlineStr">
        <is>
          <t>Minimum</t>
        </is>
      </c>
      <c r="Q3" s="32" t="inlineStr">
        <is>
          <t>Maximum</t>
        </is>
      </c>
      <c r="S3" s="32" t="inlineStr">
        <is>
          <t>Rate</t>
        </is>
      </c>
      <c r="T3" s="32" t="inlineStr">
        <is>
          <t>Minimum</t>
        </is>
      </c>
      <c r="U3" s="32" t="inlineStr">
        <is>
          <t>Maximum</t>
        </is>
      </c>
      <c r="W3" s="32" t="inlineStr">
        <is>
          <t>Rate</t>
        </is>
      </c>
      <c r="X3" s="32" t="inlineStr">
        <is>
          <t>Minimum</t>
        </is>
      </c>
      <c r="Y3" s="32" t="inlineStr">
        <is>
          <t>Maximum</t>
        </is>
      </c>
    </row>
    <row r="4">
      <c r="B4" t="inlineStr">
        <is>
          <t>Single</t>
        </is>
      </c>
      <c r="C4" s="55" t="n">
        <v>15750</v>
      </c>
      <c r="D4" s="55" t="n">
        <v>2000</v>
      </c>
      <c r="G4" s="21" t="n">
        <v>0.1</v>
      </c>
      <c r="H4" s="136" t="n">
        <v>0</v>
      </c>
      <c r="I4" s="136" t="n">
        <v>11925</v>
      </c>
      <c r="K4" s="21" t="n">
        <v>0.1</v>
      </c>
      <c r="L4" s="136" t="n">
        <v>0</v>
      </c>
      <c r="M4" s="28" t="n">
        <v>23850</v>
      </c>
      <c r="O4" s="21" t="n">
        <v>0.1</v>
      </c>
      <c r="P4" s="136" t="n">
        <v>0</v>
      </c>
      <c r="Q4" s="28" t="n">
        <v>11925</v>
      </c>
      <c r="S4" s="21" t="n">
        <v>0.1</v>
      </c>
      <c r="T4" s="136" t="n">
        <v>0</v>
      </c>
      <c r="U4" s="28" t="n">
        <v>23850</v>
      </c>
      <c r="W4" s="21" t="n">
        <v>0.1</v>
      </c>
      <c r="X4" s="136" t="n">
        <v>0</v>
      </c>
      <c r="Y4" s="28" t="n">
        <v>17000</v>
      </c>
    </row>
    <row r="5">
      <c r="B5" t="inlineStr">
        <is>
          <t>Head of Household</t>
        </is>
      </c>
      <c r="C5" s="55" t="n">
        <v>23625</v>
      </c>
      <c r="D5" s="55" t="n">
        <v>2000</v>
      </c>
      <c r="G5" s="21" t="n">
        <v>0.12</v>
      </c>
      <c r="H5" s="28" t="n">
        <v>11926</v>
      </c>
      <c r="I5" s="28" t="n">
        <v>48475</v>
      </c>
      <c r="K5" s="21" t="n">
        <v>0.12</v>
      </c>
      <c r="L5" s="28" t="n">
        <v>23851</v>
      </c>
      <c r="M5" s="28" t="n">
        <v>96950</v>
      </c>
      <c r="O5" s="21" t="n">
        <v>0.12</v>
      </c>
      <c r="P5" s="28" t="n">
        <v>11926</v>
      </c>
      <c r="Q5" s="28" t="n">
        <v>48475</v>
      </c>
      <c r="S5" s="21" t="n">
        <v>0.12</v>
      </c>
      <c r="T5" s="28" t="n">
        <v>23851</v>
      </c>
      <c r="U5" s="28" t="n">
        <v>96950</v>
      </c>
      <c r="W5" s="21" t="n">
        <v>0.12</v>
      </c>
      <c r="X5" s="28" t="n">
        <v>17001</v>
      </c>
      <c r="Y5" s="28" t="n">
        <v>64850</v>
      </c>
    </row>
    <row r="6">
      <c r="B6" t="inlineStr">
        <is>
          <t>MFJ</t>
        </is>
      </c>
      <c r="C6" s="55" t="n">
        <v>31500</v>
      </c>
      <c r="D6" s="55" t="n">
        <v>1600</v>
      </c>
      <c r="G6" s="21" t="n">
        <v>0.22</v>
      </c>
      <c r="H6" s="28" t="n">
        <v>48476</v>
      </c>
      <c r="I6" s="28" t="n">
        <v>103350</v>
      </c>
      <c r="K6" s="21" t="n">
        <v>0.22</v>
      </c>
      <c r="L6" s="28" t="n">
        <v>96951</v>
      </c>
      <c r="M6" s="28" t="n">
        <v>206700</v>
      </c>
      <c r="O6" s="21" t="n">
        <v>0.22</v>
      </c>
      <c r="P6" s="28" t="n">
        <v>48476</v>
      </c>
      <c r="Q6" s="28" t="n">
        <v>103350</v>
      </c>
      <c r="S6" s="21" t="n">
        <v>0.22</v>
      </c>
      <c r="T6" s="28" t="n">
        <v>96951</v>
      </c>
      <c r="U6" s="28" t="n">
        <v>206700</v>
      </c>
      <c r="W6" s="21" t="n">
        <v>0.22</v>
      </c>
      <c r="X6" s="28" t="n">
        <v>64851</v>
      </c>
      <c r="Y6" s="28" t="n">
        <v>103350</v>
      </c>
    </row>
    <row r="7">
      <c r="B7" t="inlineStr">
        <is>
          <t>MFS</t>
        </is>
      </c>
      <c r="C7" s="55" t="n">
        <v>15750</v>
      </c>
      <c r="D7" s="55" t="n">
        <v>1600</v>
      </c>
      <c r="G7" s="21" t="n">
        <v>0.24</v>
      </c>
      <c r="H7" s="28" t="n">
        <v>103351</v>
      </c>
      <c r="I7" s="28" t="n">
        <v>197300</v>
      </c>
      <c r="K7" s="21" t="n">
        <v>0.24</v>
      </c>
      <c r="L7" s="28" t="n">
        <v>206701</v>
      </c>
      <c r="M7" s="28" t="n">
        <v>394600</v>
      </c>
      <c r="O7" s="21" t="n">
        <v>0.24</v>
      </c>
      <c r="P7" s="28" t="n">
        <v>103351</v>
      </c>
      <c r="Q7" s="28" t="n">
        <v>197300</v>
      </c>
      <c r="S7" s="21" t="n">
        <v>0.24</v>
      </c>
      <c r="T7" s="28" t="n">
        <v>206701</v>
      </c>
      <c r="U7" s="28" t="n">
        <v>394600</v>
      </c>
      <c r="W7" s="21" t="n">
        <v>0.24</v>
      </c>
      <c r="X7" s="28" t="n">
        <v>103351</v>
      </c>
      <c r="Y7" s="28" t="n">
        <v>197300</v>
      </c>
    </row>
    <row r="8">
      <c r="B8" t="inlineStr">
        <is>
          <t>QSS</t>
        </is>
      </c>
      <c r="C8" s="55" t="n">
        <v>31500</v>
      </c>
      <c r="D8" s="55" t="n">
        <v>1600</v>
      </c>
      <c r="G8" s="21" t="n">
        <v>0.32</v>
      </c>
      <c r="H8" s="28" t="n">
        <v>197301</v>
      </c>
      <c r="I8" s="28" t="n">
        <v>250525</v>
      </c>
      <c r="K8" s="21" t="n">
        <v>0.32</v>
      </c>
      <c r="L8" s="28" t="n">
        <v>394601</v>
      </c>
      <c r="M8" s="28" t="n">
        <v>501050</v>
      </c>
      <c r="O8" s="21" t="n">
        <v>0.32</v>
      </c>
      <c r="P8" s="28" t="n">
        <v>197301</v>
      </c>
      <c r="Q8" s="28" t="n">
        <v>250525</v>
      </c>
      <c r="S8" s="21" t="n">
        <v>0.32</v>
      </c>
      <c r="T8" s="28" t="n">
        <v>394601</v>
      </c>
      <c r="U8" s="28" t="n">
        <v>501050</v>
      </c>
      <c r="W8" s="21" t="n">
        <v>0.32</v>
      </c>
      <c r="X8" s="28" t="n">
        <v>197301</v>
      </c>
      <c r="Y8" s="28" t="n">
        <v>250500</v>
      </c>
    </row>
    <row r="9">
      <c r="G9" s="21" t="n">
        <v>0.35</v>
      </c>
      <c r="H9" s="28" t="n">
        <v>250526</v>
      </c>
      <c r="I9" s="28" t="n">
        <v>626350</v>
      </c>
      <c r="K9" s="21" t="n">
        <v>0.35</v>
      </c>
      <c r="L9" s="28" t="n">
        <v>501051</v>
      </c>
      <c r="M9" s="28" t="n">
        <v>751600</v>
      </c>
      <c r="O9" s="21" t="n">
        <v>0.35</v>
      </c>
      <c r="P9" s="28" t="n">
        <v>250526</v>
      </c>
      <c r="Q9" s="28" t="n">
        <v>375800</v>
      </c>
      <c r="S9" s="21" t="n">
        <v>0.35</v>
      </c>
      <c r="T9" s="28" t="n">
        <v>501051</v>
      </c>
      <c r="U9" s="28" t="n">
        <v>751600</v>
      </c>
      <c r="W9" s="21" t="n">
        <v>0.35</v>
      </c>
      <c r="X9" s="28" t="n">
        <v>250501</v>
      </c>
      <c r="Y9" s="28" t="n">
        <v>626350</v>
      </c>
    </row>
    <row r="10" ht="15.75" customHeight="1" s="140">
      <c r="B10" s="129" t="inlineStr">
        <is>
          <t>FICA Taxes</t>
        </is>
      </c>
      <c r="G10" s="21" t="n">
        <v>0.37</v>
      </c>
      <c r="H10" s="28" t="n">
        <v>626351</v>
      </c>
      <c r="I10" s="30" t="inlineStr">
        <is>
          <t>above</t>
        </is>
      </c>
      <c r="K10" s="21" t="n">
        <v>0.37</v>
      </c>
      <c r="L10" s="28" t="n">
        <v>751601</v>
      </c>
      <c r="M10" s="29" t="inlineStr">
        <is>
          <t>Above</t>
        </is>
      </c>
      <c r="O10" s="21" t="n">
        <v>0.37</v>
      </c>
      <c r="P10" s="28" t="n">
        <v>375801</v>
      </c>
      <c r="Q10" s="29" t="inlineStr">
        <is>
          <t>Above</t>
        </is>
      </c>
      <c r="S10" s="21" t="n">
        <v>0.37</v>
      </c>
      <c r="T10" s="28" t="n">
        <v>751601</v>
      </c>
      <c r="U10" s="29" t="inlineStr">
        <is>
          <t>Above</t>
        </is>
      </c>
      <c r="W10" s="21" t="n">
        <v>0.37</v>
      </c>
      <c r="X10" s="28" t="n">
        <v>626351</v>
      </c>
      <c r="Y10" s="29" t="inlineStr">
        <is>
          <t>Above</t>
        </is>
      </c>
    </row>
    <row r="11">
      <c r="B11" t="inlineStr">
        <is>
          <t>Social Security</t>
        </is>
      </c>
      <c r="C11" s="26" t="n">
        <v>0.062</v>
      </c>
      <c r="D11" s="55" t="n">
        <v>176100</v>
      </c>
    </row>
    <row r="12" ht="15.75" customHeight="1" s="140">
      <c r="B12" t="inlineStr">
        <is>
          <t>Medicare</t>
        </is>
      </c>
      <c r="C12" s="26" t="n">
        <v>0.0145</v>
      </c>
      <c r="G12" s="32" t="inlineStr">
        <is>
          <t>Additional Medicare</t>
        </is>
      </c>
      <c r="H12" s="32" t="n"/>
      <c r="I12" s="32" t="n"/>
    </row>
    <row r="13">
      <c r="B13" t="inlineStr">
        <is>
          <t>Additional Medicare</t>
        </is>
      </c>
      <c r="C13" s="26" t="n">
        <v>0.008999999999999999</v>
      </c>
      <c r="G13" t="inlineStr">
        <is>
          <t xml:space="preserve">Income Above </t>
        </is>
      </c>
      <c r="H13" s="55" t="n">
        <v>200000</v>
      </c>
      <c r="I13" s="5" t="inlineStr">
        <is>
          <t>Single</t>
        </is>
      </c>
    </row>
    <row r="14">
      <c r="G14" t="inlineStr">
        <is>
          <t>Income Above</t>
        </is>
      </c>
      <c r="H14" s="55" t="n">
        <v>250000</v>
      </c>
      <c r="I14" s="5" t="inlineStr">
        <is>
          <t>MFJ</t>
        </is>
      </c>
    </row>
    <row r="15" ht="15.75" customHeight="1" s="140">
      <c r="B15" s="32" t="inlineStr">
        <is>
          <t>FICA Taxes Cals</t>
        </is>
      </c>
      <c r="C15" s="37" t="n"/>
      <c r="D15" s="37" t="n"/>
      <c r="G15" t="inlineStr">
        <is>
          <t>Income Above</t>
        </is>
      </c>
      <c r="H15" s="55" t="n">
        <v>200000</v>
      </c>
      <c r="I15" s="5" t="inlineStr">
        <is>
          <t>Head of Household</t>
        </is>
      </c>
    </row>
    <row r="16">
      <c r="B16" t="inlineStr">
        <is>
          <t>Social Security</t>
        </is>
      </c>
      <c r="C16" s="41">
        <f>IF(D11&gt;Inputs!D9,C11*Inputs!$D$9,D11*C11)</f>
        <v/>
      </c>
      <c r="G16" t="inlineStr">
        <is>
          <t>Income Above</t>
        </is>
      </c>
      <c r="H16" s="55" t="n">
        <v>125000</v>
      </c>
      <c r="I16" s="5" t="inlineStr">
        <is>
          <t>MFS</t>
        </is>
      </c>
    </row>
    <row r="17">
      <c r="B17" t="inlineStr">
        <is>
          <t>Medicare</t>
        </is>
      </c>
      <c r="C17" s="41">
        <f>C12*Inputs!$D$9</f>
        <v/>
      </c>
      <c r="G17" t="inlineStr">
        <is>
          <t>Income Above</t>
        </is>
      </c>
      <c r="H17" s="55" t="n">
        <v>200000</v>
      </c>
      <c r="I17" s="5" t="inlineStr">
        <is>
          <t>QSS</t>
        </is>
      </c>
    </row>
    <row r="18">
      <c r="B18" t="inlineStr">
        <is>
          <t>Additional Medicare</t>
        </is>
      </c>
      <c r="C18" s="41">
        <f>IF(((Inputs!D9-SUMIF(I13:I17,Inputs!D3,H13:H17))*C13)&lt;0,0,Inputs!D9-SUMIF(I13:I17,Inputs!D3,H13:H17))*C13</f>
        <v/>
      </c>
    </row>
    <row r="19" ht="15.75" customHeight="1" s="140">
      <c r="B19" s="15" t="inlineStr">
        <is>
          <t xml:space="preserve">Total </t>
        </is>
      </c>
      <c r="C19" s="16">
        <f>SUM(C16:C18)</f>
        <v/>
      </c>
      <c r="D19" s="15" t="n"/>
    </row>
    <row r="21" ht="15.75" customHeight="1" s="140">
      <c r="G21" s="139" t="inlineStr">
        <is>
          <t>Long term Capital Gains</t>
        </is>
      </c>
      <c r="K21" s="139" t="inlineStr">
        <is>
          <t>Long term Capital Gains</t>
        </is>
      </c>
      <c r="O21" s="139" t="inlineStr">
        <is>
          <t>Long term Capital Gains</t>
        </is>
      </c>
      <c r="S21" s="139" t="inlineStr">
        <is>
          <t>Long term Capital Gains</t>
        </is>
      </c>
      <c r="W21" s="139" t="inlineStr">
        <is>
          <t>Long term Capital Gains</t>
        </is>
      </c>
    </row>
    <row r="22" ht="15.75" customHeight="1" s="140">
      <c r="G22" s="129" t="inlineStr">
        <is>
          <t>Tax Slabs</t>
        </is>
      </c>
      <c r="H22" s="138" t="inlineStr">
        <is>
          <t>Single</t>
        </is>
      </c>
      <c r="K22" s="129" t="inlineStr">
        <is>
          <t>Tax Slabs</t>
        </is>
      </c>
      <c r="L22" s="138" t="inlineStr">
        <is>
          <t>MFJ</t>
        </is>
      </c>
      <c r="O22" s="129" t="inlineStr">
        <is>
          <t>Tax Slabs</t>
        </is>
      </c>
      <c r="P22" s="138" t="inlineStr">
        <is>
          <t>MFS</t>
        </is>
      </c>
      <c r="S22" s="129" t="inlineStr">
        <is>
          <t>Tax Slabs</t>
        </is>
      </c>
      <c r="T22" s="138" t="inlineStr">
        <is>
          <t>QSS</t>
        </is>
      </c>
      <c r="W22" s="129" t="inlineStr">
        <is>
          <t>Tax Slabs</t>
        </is>
      </c>
      <c r="X22" s="138" t="inlineStr">
        <is>
          <t>Head of Household</t>
        </is>
      </c>
    </row>
    <row r="23" ht="15.75" customHeight="1" s="140">
      <c r="G23" s="32" t="inlineStr">
        <is>
          <t>Rate</t>
        </is>
      </c>
      <c r="H23" s="32" t="inlineStr">
        <is>
          <t>Minimum</t>
        </is>
      </c>
      <c r="I23" s="32" t="inlineStr">
        <is>
          <t>Maximum</t>
        </is>
      </c>
      <c r="K23" s="32" t="inlineStr">
        <is>
          <t>Rate</t>
        </is>
      </c>
      <c r="L23" s="32" t="inlineStr">
        <is>
          <t>Minimum</t>
        </is>
      </c>
      <c r="M23" s="32" t="inlineStr">
        <is>
          <t>Maximum</t>
        </is>
      </c>
      <c r="O23" s="32" t="inlineStr">
        <is>
          <t>Rate</t>
        </is>
      </c>
      <c r="P23" s="32" t="inlineStr">
        <is>
          <t>Minimum</t>
        </is>
      </c>
      <c r="Q23" s="32" t="inlineStr">
        <is>
          <t>Maximum</t>
        </is>
      </c>
      <c r="S23" s="32" t="inlineStr">
        <is>
          <t>Rate</t>
        </is>
      </c>
      <c r="T23" s="32" t="inlineStr">
        <is>
          <t>Minimum</t>
        </is>
      </c>
      <c r="U23" s="32" t="inlineStr">
        <is>
          <t>Maximum</t>
        </is>
      </c>
      <c r="W23" s="32" t="inlineStr">
        <is>
          <t>Rate</t>
        </is>
      </c>
      <c r="X23" s="32" t="inlineStr">
        <is>
          <t>Minimum</t>
        </is>
      </c>
      <c r="Y23" s="32" t="inlineStr">
        <is>
          <t>Maximum</t>
        </is>
      </c>
    </row>
    <row r="24" ht="18" customHeight="1" s="140">
      <c r="G24" s="12" t="n">
        <v>0</v>
      </c>
      <c r="H24" t="n">
        <v>0</v>
      </c>
      <c r="I24" s="123" t="n">
        <v>48350</v>
      </c>
      <c r="K24" s="12" t="n">
        <v>0</v>
      </c>
      <c r="L24" s="142" t="n">
        <v>0</v>
      </c>
      <c r="M24" s="142" t="n">
        <v>96700</v>
      </c>
      <c r="O24" s="12" t="n">
        <v>0</v>
      </c>
      <c r="P24" s="143" t="n">
        <v>0</v>
      </c>
      <c r="Q24" s="143" t="n">
        <v>48350</v>
      </c>
      <c r="S24" s="12" t="n">
        <v>0</v>
      </c>
      <c r="T24" s="142" t="n">
        <v>0</v>
      </c>
      <c r="U24" s="142" t="n">
        <v>96700</v>
      </c>
      <c r="W24" s="12" t="n">
        <v>0</v>
      </c>
      <c r="X24" s="142" t="n">
        <v>0</v>
      </c>
      <c r="Y24" s="142" t="n">
        <v>64750</v>
      </c>
    </row>
    <row r="25">
      <c r="G25" s="12" t="n">
        <v>0.15</v>
      </c>
      <c r="H25" s="142" t="n">
        <v>48351</v>
      </c>
      <c r="I25" s="142" t="n">
        <v>533400</v>
      </c>
      <c r="K25" s="12" t="n">
        <v>0.15</v>
      </c>
      <c r="L25" s="142" t="n">
        <v>96701</v>
      </c>
      <c r="M25" s="142" t="n">
        <v>600050</v>
      </c>
      <c r="O25" s="12" t="n">
        <v>0.15</v>
      </c>
      <c r="P25" s="143" t="n">
        <v>48351</v>
      </c>
      <c r="Q25" s="143" t="n">
        <v>300000</v>
      </c>
      <c r="S25" s="12" t="n">
        <v>0.15</v>
      </c>
      <c r="T25" s="142" t="n">
        <v>96701</v>
      </c>
      <c r="U25" s="142" t="n">
        <v>600050</v>
      </c>
      <c r="W25" s="12" t="n">
        <v>0.15</v>
      </c>
      <c r="X25" s="142" t="n">
        <v>64751</v>
      </c>
      <c r="Y25" s="142" t="n">
        <v>566700</v>
      </c>
    </row>
    <row r="26">
      <c r="G26" s="12" t="n">
        <v>0.2</v>
      </c>
      <c r="H26" s="142" t="n">
        <v>533401</v>
      </c>
      <c r="K26" s="12" t="n">
        <v>0.2</v>
      </c>
      <c r="L26" s="142" t="n">
        <v>600051</v>
      </c>
      <c r="O26" s="12" t="n">
        <v>0.2</v>
      </c>
      <c r="P26" s="143" t="n">
        <v>300001</v>
      </c>
      <c r="S26" s="12" t="n">
        <v>0.2</v>
      </c>
      <c r="T26" s="142" t="n">
        <v>600051</v>
      </c>
      <c r="W26" s="12" t="n">
        <v>0.2</v>
      </c>
      <c r="X26" s="142" t="n">
        <v>566701</v>
      </c>
      <c r="Y26" s="79" t="n"/>
    </row>
    <row r="27" ht="15.75" customHeight="1" s="140">
      <c r="O27" s="125" t="n"/>
      <c r="R27" s="12" t="n"/>
    </row>
    <row r="28" ht="15.75" customHeight="1" s="140">
      <c r="H28" s="79" t="n"/>
      <c r="O28" s="125" t="n"/>
      <c r="R28" s="12" t="n"/>
    </row>
    <row r="29" ht="15.75" customHeight="1" s="140">
      <c r="H29" s="96" t="n"/>
      <c r="K29" s="50" t="n"/>
      <c r="N29" s="96" t="n"/>
      <c r="O29" s="125" t="n"/>
      <c r="R29" s="12" t="n"/>
      <c r="W29" s="50" t="n"/>
      <c r="Z29" s="96" t="n">
        <v>0</v>
      </c>
    </row>
    <row r="30" ht="15.75" customHeight="1" s="140">
      <c r="K30" s="50" t="n"/>
      <c r="W30" s="50" t="inlineStr">
        <is>
          <t>Head of Household</t>
        </is>
      </c>
      <c r="Z30" s="96" t="n">
        <v>0.15</v>
      </c>
    </row>
    <row r="31" ht="15.75" customHeight="1" s="140">
      <c r="W31" s="50" t="inlineStr">
        <is>
          <t>Head of Household</t>
        </is>
      </c>
    </row>
  </sheetData>
  <mergeCells count="15">
    <mergeCell ref="L2:M2"/>
    <mergeCell ref="O21:Q21"/>
    <mergeCell ref="S21:U21"/>
    <mergeCell ref="H2:I2"/>
    <mergeCell ref="W21:Y21"/>
    <mergeCell ref="T2:U2"/>
    <mergeCell ref="X2:Y2"/>
    <mergeCell ref="P2:Q2"/>
    <mergeCell ref="K21:M21"/>
    <mergeCell ref="H22:I22"/>
    <mergeCell ref="T22:U22"/>
    <mergeCell ref="G21:I21"/>
    <mergeCell ref="L22:M22"/>
    <mergeCell ref="P22:Q22"/>
    <mergeCell ref="X22:Y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AH207"/>
  <sheetViews>
    <sheetView showGridLines="0" topLeftCell="A130" zoomScale="82" workbookViewId="0">
      <selection activeCell="L4" sqref="L4"/>
    </sheetView>
  </sheetViews>
  <sheetFormatPr baseColWidth="8" defaultColWidth="11.5546875" defaultRowHeight="15"/>
  <cols>
    <col width="14.6640625" customWidth="1" style="140" min="8" max="8"/>
    <col width="15.109375" bestFit="1" customWidth="1" style="41" min="12" max="12"/>
    <col width="11.44140625" customWidth="1" style="140" min="13" max="13"/>
    <col width="13.109375" customWidth="1" style="140" min="14" max="14"/>
    <col width="13.77734375" customWidth="1" style="140" min="17" max="17"/>
    <col width="11.44140625" bestFit="1" customWidth="1" style="140" min="18" max="18"/>
    <col width="15.33203125" customWidth="1" style="140" min="20" max="20"/>
    <col width="12.6640625" bestFit="1" customWidth="1" style="140" min="21" max="21"/>
    <col width="17.44140625" customWidth="1" style="140" min="26" max="26"/>
    <col width="11.44140625" bestFit="1" customWidth="1" style="140" min="30" max="30"/>
  </cols>
  <sheetData>
    <row r="2" ht="15.75" customHeight="1" s="140">
      <c r="B2" s="32" t="inlineStr">
        <is>
          <t>Income Sources</t>
        </is>
      </c>
      <c r="C2" s="32" t="n"/>
      <c r="D2" s="32" t="n"/>
      <c r="E2" s="32" t="n"/>
      <c r="F2" s="32" t="n"/>
      <c r="H2" s="127">
        <f>IF(Inputs!H3=TRUE,Income!B3,"")</f>
        <v/>
      </c>
      <c r="I2" s="127" t="n"/>
      <c r="J2" s="127" t="n"/>
      <c r="K2" s="127" t="n"/>
      <c r="L2" s="128" t="n"/>
      <c r="M2" s="127" t="n"/>
      <c r="N2" s="127">
        <f>IF(AND(Inputs!H3=TRUE,Inputs!I3&gt;=2),Income!B3,"")</f>
        <v/>
      </c>
      <c r="O2" s="127" t="n"/>
      <c r="P2" s="127" t="n"/>
      <c r="Q2" s="127" t="n"/>
      <c r="R2" s="128" t="n"/>
      <c r="T2">
        <f>IF(AND(Inputs!H3=TRUE,Inputs!I3&gt;=3),Income!B3,"")</f>
        <v/>
      </c>
      <c r="Z2">
        <f>IF(AND(Inputs!H3=TRUE,Inputs!I3&gt;=4),Income!B3,"")</f>
        <v/>
      </c>
    </row>
    <row r="3">
      <c r="B3" t="inlineStr">
        <is>
          <t>W-2 Wages</t>
        </is>
      </c>
      <c r="F3" s="14" t="n"/>
      <c r="H3">
        <f>IF($H$2&lt;&gt;"",B169,"")</f>
        <v/>
      </c>
      <c r="L3" s="55" t="n">
        <v>400000</v>
      </c>
      <c r="M3" s="41" t="n"/>
      <c r="N3">
        <f>IF($N$2&lt;&gt;"",B169,"")</f>
        <v/>
      </c>
      <c r="R3" s="24" t="n"/>
      <c r="T3">
        <f>IF($T$2&lt;&gt;"",B169,"")</f>
        <v/>
      </c>
      <c r="Z3">
        <f>IF($Z$2&lt;&gt;"",B169,"")</f>
        <v/>
      </c>
    </row>
    <row r="4">
      <c r="B4" t="inlineStr">
        <is>
          <t>1099-R (Pensions &amp; annuities)</t>
        </is>
      </c>
      <c r="H4">
        <f>IF($H$2&lt;&gt;"",B170,"")</f>
        <v/>
      </c>
      <c r="L4" s="55" t="n"/>
      <c r="M4" s="41" t="n"/>
      <c r="N4">
        <f>IF($N$2&lt;&gt;"",B170,"")</f>
        <v/>
      </c>
      <c r="R4" s="24" t="n"/>
      <c r="T4">
        <f>IF($T$2&lt;&gt;"",B170,"")</f>
        <v/>
      </c>
      <c r="Z4">
        <f>IF($Z$2&lt;&gt;"",B170,"")</f>
        <v/>
      </c>
    </row>
    <row r="5">
      <c r="B5" t="inlineStr">
        <is>
          <t>1099-NEC</t>
        </is>
      </c>
      <c r="H5">
        <f>IF($H$2&lt;&gt;"",B171,"")</f>
        <v/>
      </c>
      <c r="L5" s="55" t="n"/>
      <c r="M5" s="41" t="n"/>
      <c r="N5">
        <f>IF($N$2&lt;&gt;"",B171,"")</f>
        <v/>
      </c>
      <c r="R5" s="24" t="n"/>
      <c r="T5">
        <f>IF($T$2&lt;&gt;"",B171,"")</f>
        <v/>
      </c>
      <c r="Z5">
        <f>IF($Z$2&lt;&gt;"",B171,"")</f>
        <v/>
      </c>
    </row>
    <row r="6" ht="15.75" customHeight="1" s="140">
      <c r="B6" t="inlineStr">
        <is>
          <t>1099-DIV</t>
        </is>
      </c>
      <c r="H6">
        <f>IF($H$2&lt;&gt;"",B172,"")</f>
        <v/>
      </c>
      <c r="L6" s="55" t="n">
        <v>186</v>
      </c>
      <c r="M6" s="42" t="n"/>
      <c r="N6">
        <f>IF($N$2&lt;&gt;"",B172,"")</f>
        <v/>
      </c>
      <c r="R6" s="24" t="n"/>
      <c r="T6">
        <f>IF($T$2&lt;&gt;"",B172,"")</f>
        <v/>
      </c>
      <c r="Z6">
        <f>IF($Z$2&lt;&gt;"",B172,"")</f>
        <v/>
      </c>
    </row>
    <row r="7">
      <c r="B7" t="inlineStr">
        <is>
          <t>1099-INT</t>
        </is>
      </c>
      <c r="H7">
        <f>IF($H$2&lt;&gt;"",B173,"")</f>
        <v/>
      </c>
      <c r="L7" s="55" t="n"/>
      <c r="N7">
        <f>IF($N$2&lt;&gt;"",B173,"")</f>
        <v/>
      </c>
      <c r="R7" s="24" t="n"/>
      <c r="T7">
        <f>IF($T$2&lt;&gt;"",B173,"")</f>
        <v/>
      </c>
      <c r="Z7">
        <f>IF($Z$2&lt;&gt;"",B173,"")</f>
        <v/>
      </c>
    </row>
    <row r="8">
      <c r="B8" t="inlineStr">
        <is>
          <t>1099-MISC</t>
        </is>
      </c>
      <c r="H8">
        <f>IF($H$2&lt;&gt;"",B174,"")</f>
        <v/>
      </c>
      <c r="L8" s="55" t="n">
        <v>44</v>
      </c>
      <c r="N8">
        <f>IF($N$2&lt;&gt;"",B174,"")</f>
        <v/>
      </c>
      <c r="R8" s="24" t="n"/>
      <c r="T8">
        <f>IF($T$2&lt;&gt;"",B174,"")</f>
        <v/>
      </c>
      <c r="Z8">
        <f>IF($Z$2&lt;&gt;"",B174,"")</f>
        <v/>
      </c>
    </row>
    <row r="9">
      <c r="B9" t="inlineStr">
        <is>
          <t>1099-B</t>
        </is>
      </c>
      <c r="H9">
        <f>IF($H$2&lt;&gt;"",B175,"")</f>
        <v/>
      </c>
      <c r="L9" s="55" t="n"/>
      <c r="N9">
        <f>IF($N$2&lt;&gt;"",B175,"")</f>
        <v/>
      </c>
      <c r="R9" s="24" t="n"/>
      <c r="T9">
        <f>IF($T$2&lt;&gt;"",B175,"")</f>
        <v/>
      </c>
      <c r="Z9">
        <f>IF($Z$2&lt;&gt;"",B175,"")</f>
        <v/>
      </c>
    </row>
    <row r="10">
      <c r="B10" t="inlineStr">
        <is>
          <t>Schedule E (Schedule K-1 S Corp)</t>
        </is>
      </c>
      <c r="H10">
        <f>IF($H$2&lt;&gt;"",B176,"")</f>
        <v/>
      </c>
      <c r="L10" s="55" t="n"/>
      <c r="N10">
        <f>IF($N$2&lt;&gt;"",B176,"")</f>
        <v/>
      </c>
      <c r="R10" s="24" t="n"/>
      <c r="T10">
        <f>IF($T$2&lt;&gt;"",B176,"")</f>
        <v/>
      </c>
      <c r="Z10">
        <f>IF($Z$2&lt;&gt;"",B176,"")</f>
        <v/>
      </c>
    </row>
    <row r="11">
      <c r="B11" t="inlineStr">
        <is>
          <t>Schedule E (K-1 Partnership)</t>
        </is>
      </c>
      <c r="H11">
        <f>IF($H$2&lt;&gt;"",B177,"")</f>
        <v/>
      </c>
      <c r="L11" s="55" t="n"/>
      <c r="N11">
        <f>IF($N$2&lt;&gt;"",B177,"")</f>
        <v/>
      </c>
      <c r="R11" s="24" t="n"/>
      <c r="T11">
        <f>IF($T$2&lt;&gt;"",B177,"")</f>
        <v/>
      </c>
      <c r="Z11">
        <f>IF($Z$2&lt;&gt;"",B177,"")</f>
        <v/>
      </c>
    </row>
    <row r="12">
      <c r="B12" t="inlineStr">
        <is>
          <t>Schedule E (Rental Income)</t>
        </is>
      </c>
      <c r="H12">
        <f>IF($H$2&lt;&gt;"",B178,"")</f>
        <v/>
      </c>
      <c r="L12" s="55" t="n"/>
      <c r="N12">
        <f>IF($N$2&lt;&gt;"",B178,"")</f>
        <v/>
      </c>
      <c r="R12" s="24" t="n"/>
      <c r="T12">
        <f>IF($T$2&lt;&gt;"",B178,"")</f>
        <v/>
      </c>
      <c r="Z12">
        <f>IF($Z$2&lt;&gt;"",B178,"")</f>
        <v/>
      </c>
    </row>
    <row r="13">
      <c r="B13" t="inlineStr">
        <is>
          <t>Schedule C (Sole Properietorship)</t>
        </is>
      </c>
      <c r="H13">
        <f>IF($H$2&lt;&gt;"",B179,"")</f>
        <v/>
      </c>
      <c r="L13" s="55" t="n"/>
      <c r="N13">
        <f>IF($N$2&lt;&gt;"",B179,"")</f>
        <v/>
      </c>
      <c r="R13" s="24" t="n"/>
      <c r="T13">
        <f>IF($T$2&lt;&gt;"",B179,"")</f>
        <v/>
      </c>
      <c r="Z13">
        <f>IF($Z$2&lt;&gt;"",B179,"")</f>
        <v/>
      </c>
    </row>
    <row r="14">
      <c r="B14" t="inlineStr">
        <is>
          <t>Schedule F (Farming Income)</t>
        </is>
      </c>
    </row>
    <row r="15">
      <c r="B15" t="inlineStr">
        <is>
          <t xml:space="preserve">Schedule SE (Self-Employment Income) </t>
        </is>
      </c>
    </row>
    <row r="16" ht="15.75" customHeight="1" s="140">
      <c r="B16" t="inlineStr">
        <is>
          <t>Schedule 1( Cancelled Debt)</t>
        </is>
      </c>
      <c r="H16" s="127">
        <f>IF(Inputs!H6=TRUE,Income!B6,"")</f>
        <v/>
      </c>
      <c r="I16" s="127" t="n"/>
      <c r="J16" s="127" t="n"/>
      <c r="K16" s="127" t="n"/>
      <c r="L16" s="128" t="n"/>
      <c r="N16" s="127">
        <f>IF(AND(Inputs!H6=TRUE,Inputs!I6&gt;=2),Income!B6,"")</f>
        <v/>
      </c>
      <c r="O16" s="127" t="n"/>
      <c r="P16" s="127" t="n"/>
      <c r="Q16" s="127" t="n"/>
      <c r="R16" s="128" t="n"/>
      <c r="T16" s="127">
        <f>IF(AND(Inputs!H6=TRUE,Inputs!I6&gt;=3),Income!B6,"")</f>
        <v/>
      </c>
      <c r="U16" s="127" t="n"/>
      <c r="V16" s="127" t="n"/>
      <c r="W16" s="127" t="n"/>
      <c r="X16" s="128" t="n"/>
      <c r="Z16" s="127">
        <f>IF(AND(Inputs!H6=TRUE,Inputs!I6&gt;=4),Income!B6,"")</f>
        <v/>
      </c>
      <c r="AA16" s="127" t="n"/>
      <c r="AB16" s="127" t="n"/>
      <c r="AC16" s="127" t="n"/>
      <c r="AD16" s="128" t="n"/>
    </row>
    <row r="17">
      <c r="B17" t="inlineStr">
        <is>
          <t>Schedule 1( Hobby Income)</t>
        </is>
      </c>
      <c r="H17">
        <f>IF($H$16&lt;&gt;"",H151,"")</f>
        <v/>
      </c>
      <c r="L17" s="55" t="n">
        <v>151</v>
      </c>
      <c r="N17">
        <f>IF($N$16&lt;&gt;"",H151,"")</f>
        <v/>
      </c>
      <c r="R17" s="55" t="n">
        <v>5772</v>
      </c>
      <c r="T17">
        <f>IF($T$16&lt;&gt;"",H151,"")</f>
        <v/>
      </c>
      <c r="X17" s="55" t="n"/>
      <c r="Z17">
        <f>IF($Z$16&lt;&gt;"",H151,"")</f>
        <v/>
      </c>
    </row>
    <row r="18">
      <c r="B18" t="inlineStr">
        <is>
          <t>Schedule 1( Punitive Damages)</t>
        </is>
      </c>
      <c r="H18">
        <f>IF($H$16&lt;&gt;"",H152,"")</f>
        <v/>
      </c>
      <c r="L18" s="55" t="n">
        <v>130</v>
      </c>
      <c r="N18">
        <f>IF($N$16&lt;&gt;"",H152,"")</f>
        <v/>
      </c>
      <c r="R18" s="55" t="n">
        <v>1705</v>
      </c>
      <c r="T18">
        <f>IF($T$16&lt;&gt;"",H152,"")</f>
        <v/>
      </c>
      <c r="X18" s="55" t="n"/>
      <c r="Z18">
        <f>IF($Z$16&lt;&gt;"",H152,"")</f>
        <v/>
      </c>
    </row>
    <row r="19">
      <c r="B19" t="inlineStr">
        <is>
          <t>Schedule 1( Court Awards &amp; prizes)</t>
        </is>
      </c>
      <c r="H19">
        <f>IF($H$16&lt;&gt;"",H153,"")</f>
        <v/>
      </c>
      <c r="L19" s="55" t="n"/>
      <c r="N19">
        <f>IF($N$16&lt;&gt;"",H153,"")</f>
        <v/>
      </c>
      <c r="R19" s="55" t="n"/>
      <c r="T19">
        <f>IF($T$16&lt;&gt;"",H153,"")</f>
        <v/>
      </c>
      <c r="X19" s="55" t="n"/>
      <c r="Z19">
        <f>IF($Z$16&lt;&gt;"",H153,"")</f>
        <v/>
      </c>
    </row>
    <row r="20">
      <c r="B20" t="inlineStr">
        <is>
          <t>Schedule 1(Personal property Rentals)</t>
        </is>
      </c>
      <c r="H20">
        <f>IF($H$16&lt;&gt;"",H154,"")</f>
        <v/>
      </c>
      <c r="L20" s="55" t="n"/>
      <c r="N20">
        <f>IF($N$16&lt;&gt;"",H154,"")</f>
        <v/>
      </c>
      <c r="R20" s="55" t="n"/>
      <c r="T20">
        <f>IF($T$16&lt;&gt;"",H154,"")</f>
        <v/>
      </c>
      <c r="X20" s="55" t="n"/>
      <c r="Z20">
        <f>IF($Z$16&lt;&gt;"",H154,"")</f>
        <v/>
      </c>
    </row>
    <row r="21" ht="15.75" customHeight="1" s="140">
      <c r="H21">
        <f>IF($H$16&lt;&gt;"",H155,"")</f>
        <v/>
      </c>
      <c r="N21">
        <f>IF($N$16&lt;&gt;"",H155,"")</f>
        <v/>
      </c>
      <c r="T21">
        <f>IF($T$16&lt;&gt;"",H155,"")</f>
        <v/>
      </c>
      <c r="Z21" s="129">
        <f>IF($Z$16&lt;&gt;"",H156,"")</f>
        <v/>
      </c>
      <c r="AA21" s="129" t="n"/>
      <c r="AB21" s="129" t="n"/>
      <c r="AC21" s="129" t="n"/>
      <c r="AD21" s="112" t="n"/>
    </row>
    <row r="22" ht="15.75" customHeight="1" s="140">
      <c r="H22" s="129">
        <f>IF($H$16&lt;&gt;"",H156,"")</f>
        <v/>
      </c>
      <c r="I22" s="129" t="n"/>
      <c r="J22" s="129" t="n"/>
      <c r="K22" s="129" t="n"/>
      <c r="L22" s="112" t="n"/>
      <c r="N22" s="129">
        <f>IF($N$16&lt;&gt;"",H156,"")</f>
        <v/>
      </c>
      <c r="O22" s="129" t="n"/>
      <c r="P22" s="129" t="n"/>
      <c r="Q22" s="129" t="n"/>
      <c r="R22" s="112" t="n"/>
      <c r="T22" s="129">
        <f>IF($T$16&lt;&gt;"",H156,"")</f>
        <v/>
      </c>
      <c r="U22" s="129" t="n"/>
      <c r="V22" s="129" t="n"/>
      <c r="W22" s="129" t="n"/>
      <c r="X22" s="112" t="n"/>
    </row>
    <row r="25" ht="15.75" customHeight="1" s="140">
      <c r="H25" s="127">
        <f>IF(Inputs!H8=TRUE,Income!B7,"")</f>
        <v/>
      </c>
      <c r="I25" s="127" t="n"/>
      <c r="J25" s="127" t="n"/>
      <c r="K25" s="127" t="n"/>
      <c r="L25" s="128" t="n"/>
      <c r="N25" s="127">
        <f>IF(AND(Inputs!H8=TRUE,Inputs!I8&gt;=2),Income!B7,"")</f>
        <v/>
      </c>
      <c r="O25" s="127" t="n"/>
      <c r="P25" s="127" t="n"/>
      <c r="Q25" s="127" t="n"/>
      <c r="R25" s="128" t="n"/>
      <c r="T25" s="127">
        <f>IF(AND(Inputs!H8=TRUE,Inputs!I8&gt;=3),Income!B7,"")</f>
        <v/>
      </c>
      <c r="U25" s="127" t="n"/>
      <c r="V25" s="127" t="n"/>
      <c r="W25" s="127" t="n"/>
      <c r="X25" s="128" t="n"/>
      <c r="Z25" s="127">
        <f>IF(AND(Inputs!H8=TRUE,Inputs!I8&gt;=4),Income!B7,"")</f>
        <v/>
      </c>
      <c r="AA25" s="127" t="n"/>
      <c r="AB25" s="127" t="n"/>
      <c r="AC25" s="127" t="n"/>
      <c r="AD25" s="128" t="n"/>
    </row>
    <row r="26">
      <c r="H26">
        <f>IF($H$25&lt;&gt;"",N151,"")</f>
        <v/>
      </c>
      <c r="L26" s="55" t="n">
        <v>92</v>
      </c>
      <c r="N26">
        <f>IF($N$25&lt;&gt;"",N151,"")</f>
        <v/>
      </c>
      <c r="R26" s="55" t="n">
        <v>69</v>
      </c>
      <c r="T26">
        <f>IF($T$25&lt;&gt;"",N151,"")</f>
        <v/>
      </c>
      <c r="X26" s="55">
        <f>442+27+144+1933</f>
        <v/>
      </c>
      <c r="Z26">
        <f>IF($Z$25&lt;&gt;"",N151,"")</f>
        <v/>
      </c>
    </row>
    <row r="27">
      <c r="H27">
        <f>IF($H$25&lt;&gt;"",N152,"")</f>
        <v/>
      </c>
      <c r="N27">
        <f>IF($N$25&lt;&gt;"",N152,"")</f>
        <v/>
      </c>
      <c r="T27">
        <f>IF($T$25&lt;&gt;"",N152,"")</f>
        <v/>
      </c>
      <c r="Z27">
        <f>IF($Z$25&lt;&gt;"",N152,"")</f>
        <v/>
      </c>
    </row>
    <row r="28">
      <c r="H28">
        <f>IF($H$25&lt;&gt;"",N153,"")</f>
        <v/>
      </c>
      <c r="N28">
        <f>IF($N$25&lt;&gt;"",N153,"")</f>
        <v/>
      </c>
      <c r="T28">
        <f>IF($T$25&lt;&gt;"",N153,"")</f>
        <v/>
      </c>
      <c r="Z28">
        <f>IF($Z$25&lt;&gt;"",N153,"")</f>
        <v/>
      </c>
    </row>
    <row r="29">
      <c r="H29">
        <f>IF($H$25&lt;&gt;"",N154,"")</f>
        <v/>
      </c>
      <c r="N29">
        <f>IF($N$25&lt;&gt;"",N154,"")</f>
        <v/>
      </c>
      <c r="T29">
        <f>IF($T$25&lt;&gt;"",N154,"")</f>
        <v/>
      </c>
      <c r="Z29">
        <f>IF($Z$25&lt;&gt;"",N154,"")</f>
        <v/>
      </c>
    </row>
    <row r="30" ht="15.75" customHeight="1" s="140">
      <c r="H30" s="129">
        <f>IF($H$25&lt;&gt;"",N155,"")</f>
        <v/>
      </c>
      <c r="I30" s="129" t="n"/>
      <c r="J30" s="129" t="n"/>
      <c r="K30" s="129" t="n"/>
      <c r="L30" s="112" t="n"/>
      <c r="N30" s="129">
        <f>IF($N$25&lt;&gt;"",N155,"")</f>
        <v/>
      </c>
      <c r="O30" s="129" t="n"/>
      <c r="P30" s="129" t="n"/>
      <c r="Q30" s="129" t="n"/>
      <c r="R30" s="112" t="n"/>
      <c r="T30" s="129">
        <f>IF($N$25&lt;&gt;"",N155,"")</f>
        <v/>
      </c>
      <c r="U30" s="129" t="n"/>
      <c r="V30" s="129" t="n"/>
      <c r="W30" s="129" t="n"/>
      <c r="X30" s="112" t="n"/>
      <c r="Z30" s="129">
        <f>IF($Z$25&lt;&gt;"",N155,"")</f>
        <v/>
      </c>
      <c r="AA30" s="129" t="n"/>
      <c r="AB30" s="129" t="n"/>
      <c r="AC30" s="129" t="n"/>
      <c r="AD30" s="112" t="n"/>
    </row>
    <row r="33" ht="15.75" customHeight="1" s="140">
      <c r="H33" s="127">
        <f>IF(Inputs!H4=TRUE,Income!B4,"")</f>
        <v/>
      </c>
      <c r="I33" s="127" t="n"/>
      <c r="J33" s="127" t="n"/>
      <c r="K33" s="127" t="n"/>
      <c r="L33" s="128" t="n"/>
      <c r="N33" s="127">
        <f>IF(AND(Inputs!H4=TRUE,Inputs!I4&gt;=2),Income!B4,"")</f>
        <v/>
      </c>
      <c r="O33" s="127" t="n"/>
      <c r="P33" s="127" t="n"/>
      <c r="Q33" s="127" t="n"/>
      <c r="R33" s="128" t="n"/>
      <c r="T33" s="127">
        <f>IF(AND(Inputs!H4=TRUE,Inputs!I4&gt;=3),Income!B4,"")</f>
        <v/>
      </c>
      <c r="U33" s="127" t="n"/>
      <c r="V33" s="127" t="n"/>
      <c r="W33" s="127" t="n"/>
      <c r="X33" s="128" t="n"/>
      <c r="Z33" s="127">
        <f>IF(AND(Inputs!H4=TRUE,Inputs!I4&gt;=4),Income!B4,"")</f>
        <v/>
      </c>
      <c r="AA33" s="127" t="n"/>
      <c r="AB33" s="127" t="n"/>
      <c r="AC33" s="127" t="n"/>
      <c r="AD33" s="128" t="n"/>
    </row>
    <row r="34">
      <c r="H34">
        <f>IF($H$33&lt;&gt;"",B151,"")</f>
        <v/>
      </c>
      <c r="L34" s="55" t="n"/>
      <c r="N34">
        <f>IF($N$33&lt;&gt;"",B151,"")</f>
        <v/>
      </c>
      <c r="T34">
        <f>IF($T$33&lt;&gt;"",B151,"")</f>
        <v/>
      </c>
      <c r="Z34">
        <f>IF($Z$33&lt;&gt;"",B151,"")</f>
        <v/>
      </c>
    </row>
    <row r="35">
      <c r="H35">
        <f>IF($H$33&lt;&gt;"",B152,"")</f>
        <v/>
      </c>
      <c r="L35" s="55" t="n"/>
      <c r="N35">
        <f>IF($N$33&lt;&gt;"",B152,"")</f>
        <v/>
      </c>
      <c r="T35">
        <f>IF($T$33&lt;&gt;"",B152,"")</f>
        <v/>
      </c>
      <c r="Z35">
        <f>IF($Z$33&lt;&gt;"",B152,"")</f>
        <v/>
      </c>
    </row>
    <row r="36">
      <c r="H36">
        <f>IF($H$33&lt;&gt;"",B153,"")</f>
        <v/>
      </c>
      <c r="L36" s="55" t="n"/>
      <c r="N36">
        <f>IF($N$33&lt;&gt;"",B153,"")</f>
        <v/>
      </c>
      <c r="T36">
        <f>IF($T$33&lt;&gt;"",B153,"")</f>
        <v/>
      </c>
      <c r="Z36">
        <f>IF($Z$33&lt;&gt;"",B153,"")</f>
        <v/>
      </c>
    </row>
    <row r="37">
      <c r="H37">
        <f>IF($H$33&lt;&gt;"",B153,"")</f>
        <v/>
      </c>
      <c r="N37">
        <f>IF($N$33&lt;&gt;"",B154,"")</f>
        <v/>
      </c>
      <c r="T37">
        <f>IF($T$33&lt;&gt;"",B154,"")</f>
        <v/>
      </c>
      <c r="Z37">
        <f>IF($Z$33&lt;&gt;"",B154,"")</f>
        <v/>
      </c>
    </row>
    <row r="38">
      <c r="H38">
        <f>IF($H$33&lt;&gt;"",B154,"")</f>
        <v/>
      </c>
      <c r="N38">
        <f>IF($N$33&lt;&gt;"",B155,"")</f>
        <v/>
      </c>
      <c r="T38">
        <f>IF($T$33&lt;&gt;"",B155,"")</f>
        <v/>
      </c>
      <c r="Z38">
        <f>IF($Z$33&lt;&gt;"",B155,"")</f>
        <v/>
      </c>
    </row>
    <row r="39">
      <c r="H39">
        <f>IF($H$33&lt;&gt;"",B155,"")</f>
        <v/>
      </c>
      <c r="N39">
        <f>IF($N$33&lt;&gt;"",B156,"")</f>
        <v/>
      </c>
      <c r="T39">
        <f>IF($T$33&lt;&gt;"",B156,"")</f>
        <v/>
      </c>
      <c r="Z39">
        <f>IF($Z$33&lt;&gt;"",B156,"")</f>
        <v/>
      </c>
    </row>
    <row r="40">
      <c r="H40">
        <f>IF($H$33&lt;&gt;"",B156,"")</f>
        <v/>
      </c>
      <c r="N40">
        <f>IF($N$33&lt;&gt;"",B157,"")</f>
        <v/>
      </c>
      <c r="T40">
        <f>IF($T$33&lt;&gt;"",B157,"")</f>
        <v/>
      </c>
      <c r="Z40">
        <f>IF($Z$33&lt;&gt;"",B157,"")</f>
        <v/>
      </c>
    </row>
    <row r="41">
      <c r="H41">
        <f>IF($H$33&lt;&gt;"",B157,"")</f>
        <v/>
      </c>
    </row>
    <row r="43" ht="15.75" customHeight="1" s="140">
      <c r="D43" s="79" t="n"/>
      <c r="H43" s="127">
        <f>IF(Inputs!H9=TRUE,Income!B9,"")</f>
        <v/>
      </c>
      <c r="I43" s="127" t="n"/>
      <c r="J43" s="127" t="n"/>
      <c r="K43" s="127" t="n"/>
      <c r="L43" s="128" t="n"/>
      <c r="N43" s="127">
        <f>IF(AND(Inputs!H9=TRUE,Inputs!I9&gt;=2),Income!B9,"")</f>
        <v/>
      </c>
      <c r="O43" s="127" t="n"/>
      <c r="P43" s="127" t="n"/>
      <c r="Q43" s="127" t="n"/>
      <c r="R43" s="128" t="n"/>
      <c r="T43" s="127">
        <f>IF(AND(Inputs!H9=TRUE,Inputs!I9&gt;=3),Income!B9,"")</f>
        <v/>
      </c>
      <c r="U43" s="127" t="n"/>
      <c r="V43" s="127" t="n"/>
      <c r="W43" s="127" t="n"/>
      <c r="X43" s="128" t="n"/>
      <c r="Z43" s="127">
        <f>IF(AND(Inputs!H9=TRUE,Inputs!I9&gt;=4),Income!B9,"")</f>
        <v/>
      </c>
      <c r="AA43" s="127" t="n"/>
      <c r="AB43" s="127" t="n"/>
      <c r="AC43" s="127" t="n"/>
      <c r="AD43" s="128" t="n"/>
    </row>
    <row r="44">
      <c r="H44">
        <f>IF($H$43&lt;&gt;"",H166,"")</f>
        <v/>
      </c>
      <c r="L44" s="55" t="n">
        <v>48307</v>
      </c>
      <c r="N44">
        <f>IF($N$43&lt;&gt;"",H166,"")</f>
        <v/>
      </c>
      <c r="R44" s="55" t="n">
        <v>2475</v>
      </c>
      <c r="T44">
        <f>IF($T$43&lt;&gt;"",H166,"")</f>
        <v/>
      </c>
      <c r="X44" s="55" t="n">
        <v>40639</v>
      </c>
      <c r="Z44">
        <f>IF($Z$43&lt;&gt;"",H166,"")</f>
        <v/>
      </c>
      <c r="AD44" s="55" t="n"/>
    </row>
    <row r="45">
      <c r="H45">
        <f>IF($H$43&lt;&gt;"",H167,"")</f>
        <v/>
      </c>
      <c r="L45" s="55" t="n">
        <v>48905</v>
      </c>
      <c r="N45">
        <f>IF($N$43&lt;&gt;"",H167,"")</f>
        <v/>
      </c>
      <c r="R45" s="55" t="n">
        <v>1906</v>
      </c>
      <c r="T45">
        <f>IF($T$43&lt;&gt;"",H167,"")</f>
        <v/>
      </c>
      <c r="X45" s="55" t="n">
        <v>41063</v>
      </c>
      <c r="Z45">
        <f>IF($Z$43&lt;&gt;"",H167,"")</f>
        <v/>
      </c>
      <c r="AD45" s="55" t="n"/>
    </row>
    <row r="46">
      <c r="H46">
        <f>IF($H$43&lt;&gt;"",H168,"")</f>
        <v/>
      </c>
      <c r="L46" s="126" t="inlineStr">
        <is>
          <t>(A) Short-term showing basis was reported to the IRS</t>
        </is>
      </c>
      <c r="N46">
        <f>IF($N$43&lt;&gt;"",H168,"")</f>
        <v/>
      </c>
      <c r="R46" s="23" t="inlineStr">
        <is>
          <t>(D) Long-term showing basis was reported to the IRS</t>
        </is>
      </c>
      <c r="T46">
        <f>IF($T$43&lt;&gt;"",H168,"")</f>
        <v/>
      </c>
      <c r="X46" s="23" t="inlineStr">
        <is>
          <t>(B) Short-term showing basis wasn't reported to the IRS</t>
        </is>
      </c>
      <c r="Z46">
        <f>IF($Z$43&lt;&gt;"",H168,"")</f>
        <v/>
      </c>
      <c r="AD46" s="23" t="n"/>
    </row>
    <row r="47">
      <c r="H47">
        <f>IF($H$43&lt;&gt;"",H169,"")</f>
        <v/>
      </c>
      <c r="K47" s="83" t="inlineStr">
        <is>
          <t>Yes</t>
        </is>
      </c>
      <c r="L47" s="55" t="n">
        <v>121</v>
      </c>
      <c r="N47">
        <f>IF($N$43&lt;&gt;"",H169,"")</f>
        <v/>
      </c>
      <c r="Q47" s="83" t="n"/>
      <c r="R47" s="24" t="n"/>
      <c r="T47">
        <f>IF($T$43&lt;&gt;"",H169,"")</f>
        <v/>
      </c>
      <c r="W47" s="83" t="n"/>
      <c r="X47" s="24" t="n"/>
      <c r="Z47">
        <f>IF($Z$43&lt;&gt;"",H169,"")</f>
        <v/>
      </c>
      <c r="AC47" s="83" t="n"/>
      <c r="AD47" s="24" t="n"/>
    </row>
    <row r="48">
      <c r="H48">
        <f>IF($H$43&lt;&gt;"",H170,"")</f>
        <v/>
      </c>
      <c r="L48" s="55" t="n"/>
      <c r="N48">
        <f>IF($N$43&lt;&gt;"",H170,"")</f>
        <v/>
      </c>
      <c r="R48" s="24" t="n"/>
      <c r="T48">
        <f>IF($T$43&lt;&gt;"",H170,"")</f>
        <v/>
      </c>
      <c r="X48" s="24" t="n"/>
      <c r="Z48">
        <f>IF($Z$43&lt;&gt;"",H170,"")</f>
        <v/>
      </c>
      <c r="AD48" s="41" t="n"/>
    </row>
    <row r="49">
      <c r="H49">
        <f>IF($H$43&lt;&gt;"",H171,"")</f>
        <v/>
      </c>
      <c r="N49">
        <f>IF($N$43&lt;&gt;"",H171,"")</f>
        <v/>
      </c>
      <c r="R49" s="24" t="n">
        <v>296</v>
      </c>
      <c r="T49">
        <f>IF($T$43&lt;&gt;"",H171,"")</f>
        <v/>
      </c>
      <c r="Z49">
        <f>IF($Z$43&lt;&gt;"",H171,"")</f>
        <v/>
      </c>
      <c r="AD49" s="41" t="n"/>
    </row>
    <row r="50" ht="15.75" customHeight="1" s="140">
      <c r="H50" s="129">
        <f>IF($H$43&lt;&gt;"",H172,"")</f>
        <v/>
      </c>
      <c r="I50" s="129" t="n"/>
      <c r="J50" s="129" t="n"/>
      <c r="K50" s="129" t="n"/>
      <c r="L50" s="112">
        <f>IF(H50&lt;&gt;"",L44-L45+IF(K47="Yes",L47,0)+L49,"")</f>
        <v/>
      </c>
      <c r="N50" s="129">
        <f>IF($N$43&lt;&gt;"",H172,"")</f>
        <v/>
      </c>
      <c r="O50" s="129" t="n"/>
      <c r="P50" s="129" t="n"/>
      <c r="Q50" s="129" t="n"/>
      <c r="R50" s="112">
        <f>IF(N50&lt;&gt;"",R44-R45+IF(Q47="Yes",R47,0)+R49,"")</f>
        <v/>
      </c>
      <c r="T50" s="129">
        <f>IF($T$43&lt;&gt;"",H172,"")</f>
        <v/>
      </c>
      <c r="U50" s="129" t="n"/>
      <c r="V50" s="129" t="n"/>
      <c r="W50" s="129" t="n"/>
      <c r="X50" s="112">
        <f>IF(T50&lt;&gt;"",X44-X45+IF(W47="Yes",X47,0)+X49,"")</f>
        <v/>
      </c>
      <c r="Z50" s="129">
        <f>IF($Z$43&lt;&gt;"",H172,"")</f>
        <v/>
      </c>
      <c r="AA50" s="129" t="n"/>
      <c r="AB50" s="129" t="n"/>
      <c r="AC50" s="129" t="n"/>
      <c r="AD50" s="112">
        <f>IF(Z50&lt;&gt;"",AD44-AD45+IF(AC47="Yes",AD47,0)+AD49,"")</f>
        <v/>
      </c>
    </row>
    <row r="51" ht="15.75" customHeight="1" s="140">
      <c r="H51" s="129" t="n"/>
      <c r="I51" s="129" t="n"/>
      <c r="J51" s="129" t="n"/>
      <c r="K51" s="129" t="n"/>
      <c r="L51" s="112" t="n"/>
      <c r="N51" s="129" t="n"/>
      <c r="O51" s="129" t="n"/>
      <c r="P51" s="129" t="n"/>
      <c r="Q51" s="129" t="n"/>
      <c r="R51" s="112" t="n"/>
      <c r="T51" s="129" t="n"/>
      <c r="U51" s="129" t="n"/>
      <c r="V51" s="129" t="n"/>
      <c r="W51" s="129" t="n"/>
      <c r="X51" s="129" t="n"/>
      <c r="Z51" s="129" t="n"/>
      <c r="AA51" s="129" t="n"/>
      <c r="AB51" s="129" t="n"/>
      <c r="AC51" s="129" t="n"/>
      <c r="AD51" s="112" t="n"/>
    </row>
    <row r="52">
      <c r="V52" s="14" t="n"/>
    </row>
    <row r="53" ht="15.75" customHeight="1" s="140">
      <c r="H53" s="32">
        <f>IF(Inputs!H10=TRUE,Income!B10,"")</f>
        <v/>
      </c>
      <c r="I53" s="32" t="n"/>
      <c r="J53" s="32" t="n"/>
      <c r="K53" s="32" t="n"/>
      <c r="L53" s="51" t="n"/>
      <c r="N53" s="32">
        <f>IF(AND(Inputs!H10=TRUE,Inputs!I10&gt;=2),Income!B10,"")</f>
        <v/>
      </c>
      <c r="O53" s="32" t="n"/>
      <c r="P53" s="32" t="n"/>
      <c r="Q53" s="32" t="n"/>
      <c r="R53" s="51" t="n"/>
      <c r="T53" s="32">
        <f>IF(AND(Inputs!H10=TRUE,Inputs!I10&gt;=3),Income!B10,"")</f>
        <v/>
      </c>
      <c r="U53" s="32" t="n"/>
      <c r="V53" s="32" t="n"/>
      <c r="W53" s="32" t="n"/>
      <c r="X53" s="51" t="n"/>
    </row>
    <row r="54" ht="15.75" customHeight="1" s="140">
      <c r="H54" s="129">
        <f>IF($H$53&lt;&gt;"",N182,"")</f>
        <v/>
      </c>
      <c r="I54" s="129">
        <f>IF($H$53&lt;&gt;"",O182,"")</f>
        <v/>
      </c>
      <c r="L54" s="24" t="n"/>
      <c r="N54">
        <f>IF($N$53&lt;&gt;"",$N182,"")</f>
        <v/>
      </c>
      <c r="O54">
        <f>IF($N$53&lt;&gt;"",O182,"")</f>
        <v/>
      </c>
      <c r="T54">
        <f>IF($N$53&lt;&gt;"",$N182,"")</f>
        <v/>
      </c>
      <c r="U54">
        <f>IF($N$53&lt;&gt;"",$O182,"")</f>
        <v/>
      </c>
    </row>
    <row r="55">
      <c r="H55">
        <f>IF($H$53&lt;&gt;"",N183,"")</f>
        <v/>
      </c>
      <c r="I55">
        <f>IF($H$53&lt;&gt;"",O183,"")</f>
        <v/>
      </c>
      <c r="L55" s="55" t="n"/>
      <c r="N55">
        <f>IF($N$53&lt;&gt;"",$N183,"")</f>
        <v/>
      </c>
      <c r="O55">
        <f>IF($N$53&lt;&gt;"",O183,"")</f>
        <v/>
      </c>
      <c r="T55">
        <f>IF($N$53&lt;&gt;"",$N183,"")</f>
        <v/>
      </c>
      <c r="U55">
        <f>IF($N$53&lt;&gt;"",$O183,"")</f>
        <v/>
      </c>
      <c r="V55" s="14" t="n"/>
    </row>
    <row r="56">
      <c r="H56">
        <f>IF($H$53&lt;&gt;"",N184,"")</f>
        <v/>
      </c>
      <c r="I56">
        <f>IF($H$53&lt;&gt;"",O184,"")</f>
        <v/>
      </c>
      <c r="L56" s="55" t="n"/>
      <c r="N56">
        <f>IF($N$53&lt;&gt;"",$N184,"")</f>
        <v/>
      </c>
      <c r="O56">
        <f>IF($N$53&lt;&gt;"",O184,"")</f>
        <v/>
      </c>
      <c r="T56">
        <f>IF($N$53&lt;&gt;"",$N184,"")</f>
        <v/>
      </c>
      <c r="U56">
        <f>IF($N$53&lt;&gt;"",$O184,"")</f>
        <v/>
      </c>
    </row>
    <row r="57">
      <c r="H57">
        <f>IF($H$53&lt;&gt;"",N185,"")</f>
        <v/>
      </c>
      <c r="I57">
        <f>IF($H$53&lt;&gt;"",O185,"")</f>
        <v/>
      </c>
      <c r="L57" s="55" t="n"/>
      <c r="N57">
        <f>IF($N$53&lt;&gt;"",$N185,"")</f>
        <v/>
      </c>
      <c r="O57">
        <f>IF($N$53&lt;&gt;"",O185,"")</f>
        <v/>
      </c>
      <c r="T57">
        <f>IF($N$53&lt;&gt;"",$N185,"")</f>
        <v/>
      </c>
      <c r="U57">
        <f>IF($N$53&lt;&gt;"",$O185,"")</f>
        <v/>
      </c>
    </row>
    <row r="58">
      <c r="H58">
        <f>IF($H$53&lt;&gt;"",N186,"")</f>
        <v/>
      </c>
      <c r="I58">
        <f>IF($H$53&lt;&gt;"",O186,"")</f>
        <v/>
      </c>
      <c r="L58" s="55" t="n"/>
      <c r="N58">
        <f>IF($N$53&lt;&gt;"",$N186,"")</f>
        <v/>
      </c>
      <c r="O58">
        <f>IF($N$53&lt;&gt;"",O186,"")</f>
        <v/>
      </c>
      <c r="T58">
        <f>IF($N$53&lt;&gt;"",$N186,"")</f>
        <v/>
      </c>
      <c r="U58">
        <f>IF($N$53&lt;&gt;"",$O186,"")</f>
        <v/>
      </c>
    </row>
    <row r="59">
      <c r="H59">
        <f>IF($H$53&lt;&gt;"",N187,"")</f>
        <v/>
      </c>
      <c r="I59">
        <f>IF($H$53&lt;&gt;"",O187,"")</f>
        <v/>
      </c>
      <c r="L59" s="55" t="n"/>
      <c r="N59">
        <f>IF($N$53&lt;&gt;"",$N187,"")</f>
        <v/>
      </c>
      <c r="O59">
        <f>IF($N$53&lt;&gt;"",O187,"")</f>
        <v/>
      </c>
      <c r="T59">
        <f>IF($N$53&lt;&gt;"",$N187,"")</f>
        <v/>
      </c>
      <c r="U59">
        <f>IF($N$53&lt;&gt;"",$O187,"")</f>
        <v/>
      </c>
    </row>
    <row r="60">
      <c r="H60">
        <f>IF($H$53&lt;&gt;"",N188,"")</f>
        <v/>
      </c>
      <c r="I60">
        <f>IF($H$53&lt;&gt;"",O188,"")</f>
        <v/>
      </c>
      <c r="L60" s="55" t="n"/>
      <c r="N60">
        <f>IF($N$53&lt;&gt;"",$N188,"")</f>
        <v/>
      </c>
      <c r="O60">
        <f>IF($N$53&lt;&gt;"",O188,"")</f>
        <v/>
      </c>
      <c r="T60">
        <f>IF($N$53&lt;&gt;"",$N188,"")</f>
        <v/>
      </c>
      <c r="U60">
        <f>IF($N$53&lt;&gt;"",$O188,"")</f>
        <v/>
      </c>
    </row>
    <row r="61">
      <c r="H61">
        <f>IF($H$53&lt;&gt;"",N189,"")</f>
        <v/>
      </c>
      <c r="I61">
        <f>IF($H$53&lt;&gt;"",O189,"")</f>
        <v/>
      </c>
      <c r="N61">
        <f>IF($N$53&lt;&gt;"",$N189,"")</f>
        <v/>
      </c>
      <c r="O61">
        <f>IF($N$53&lt;&gt;"",O189,"")</f>
        <v/>
      </c>
      <c r="T61">
        <f>IF($N$53&lt;&gt;"",$N189,"")</f>
        <v/>
      </c>
      <c r="U61">
        <f>IF($N$53&lt;&gt;"",$O189,"")</f>
        <v/>
      </c>
    </row>
    <row r="62">
      <c r="H62">
        <f>IF($H$53&lt;&gt;"",N190,"")</f>
        <v/>
      </c>
      <c r="I62">
        <f>IF($H$53&lt;&gt;"",O190,"")</f>
        <v/>
      </c>
      <c r="N62">
        <f>IF($N$53&lt;&gt;"",$N190,"")</f>
        <v/>
      </c>
      <c r="O62">
        <f>IF($N$53&lt;&gt;"",O190,"")</f>
        <v/>
      </c>
      <c r="T62">
        <f>IF($N$53&lt;&gt;"",$N190,"")</f>
        <v/>
      </c>
      <c r="U62">
        <f>IF($N$53&lt;&gt;"",$O190,"")</f>
        <v/>
      </c>
    </row>
    <row r="63">
      <c r="H63">
        <f>IF($H$53&lt;&gt;"",N191,"")</f>
        <v/>
      </c>
      <c r="I63">
        <f>IF($H$53&lt;&gt;"",O191,"")</f>
        <v/>
      </c>
      <c r="N63">
        <f>IF($N$53&lt;&gt;"",$N191,"")</f>
        <v/>
      </c>
      <c r="O63">
        <f>IF($N$53&lt;&gt;"",O191,"")</f>
        <v/>
      </c>
      <c r="T63">
        <f>IF($N$53&lt;&gt;"",$N191,"")</f>
        <v/>
      </c>
      <c r="U63">
        <f>IF($N$53&lt;&gt;"",$O191,"")</f>
        <v/>
      </c>
    </row>
    <row r="64">
      <c r="H64">
        <f>IF($H$53&lt;&gt;"",N192,"")</f>
        <v/>
      </c>
      <c r="I64">
        <f>IF($H$53&lt;&gt;"",O192,"")</f>
        <v/>
      </c>
      <c r="N64">
        <f>IF($N$53&lt;&gt;"",$N192,"")</f>
        <v/>
      </c>
      <c r="O64">
        <f>IF($N$53&lt;&gt;"",O192,"")</f>
        <v/>
      </c>
      <c r="T64">
        <f>IF($N$53&lt;&gt;"",$N192,"")</f>
        <v/>
      </c>
      <c r="U64">
        <f>IF($N$53&lt;&gt;"",$O192,"")</f>
        <v/>
      </c>
    </row>
    <row r="65">
      <c r="H65">
        <f>IF($H$53&lt;&gt;"",N193,"")</f>
        <v/>
      </c>
      <c r="I65">
        <f>IF($H$53&lt;&gt;"",O193,"")</f>
        <v/>
      </c>
      <c r="N65">
        <f>IF($N$53&lt;&gt;"",$N193,"")</f>
        <v/>
      </c>
      <c r="O65">
        <f>IF($N$53&lt;&gt;"",O193,"")</f>
        <v/>
      </c>
      <c r="T65">
        <f>IF($N$53&lt;&gt;"",$N193,"")</f>
        <v/>
      </c>
      <c r="U65">
        <f>IF($N$53&lt;&gt;"",$O193,"")</f>
        <v/>
      </c>
    </row>
    <row r="66">
      <c r="H66">
        <f>IF($H$53&lt;&gt;"",N194,"")</f>
        <v/>
      </c>
      <c r="I66">
        <f>IF($H$53&lt;&gt;"",O194,"")</f>
        <v/>
      </c>
      <c r="N66">
        <f>IF($N$53&lt;&gt;"",$N194,"")</f>
        <v/>
      </c>
      <c r="O66">
        <f>IF($N$53&lt;&gt;"",O194,"")</f>
        <v/>
      </c>
      <c r="T66">
        <f>IF($N$53&lt;&gt;"",$N194,"")</f>
        <v/>
      </c>
      <c r="U66">
        <f>IF($N$53&lt;&gt;"",$O194,"")</f>
        <v/>
      </c>
    </row>
    <row r="67">
      <c r="H67">
        <f>IF($H$53&lt;&gt;"",N195,"")</f>
        <v/>
      </c>
      <c r="I67">
        <f>IF($H$53&lt;&gt;"",O195,"")</f>
        <v/>
      </c>
      <c r="N67">
        <f>IF($N$53&lt;&gt;"",$N195,"")</f>
        <v/>
      </c>
      <c r="O67">
        <f>IF($N$53&lt;&gt;"",O195,"")</f>
        <v/>
      </c>
      <c r="T67">
        <f>IF($N$53&lt;&gt;"",$N195,"")</f>
        <v/>
      </c>
      <c r="U67">
        <f>IF($N$53&lt;&gt;"",$O195,"")</f>
        <v/>
      </c>
    </row>
    <row r="68">
      <c r="H68">
        <f>IF($H$53&lt;&gt;"",N196,"")</f>
        <v/>
      </c>
      <c r="I68">
        <f>IF($H$53&lt;&gt;"",O196,"")</f>
        <v/>
      </c>
      <c r="N68">
        <f>IF($N$53&lt;&gt;"",$N196,"")</f>
        <v/>
      </c>
      <c r="O68">
        <f>IF($N$53&lt;&gt;"",O196,"")</f>
        <v/>
      </c>
      <c r="T68">
        <f>IF($N$53&lt;&gt;"",$N196,"")</f>
        <v/>
      </c>
      <c r="U68">
        <f>IF($N$53&lt;&gt;"",$O196,"")</f>
        <v/>
      </c>
    </row>
    <row r="69">
      <c r="H69">
        <f>IF($H$53&lt;&gt;"",N197,"")</f>
        <v/>
      </c>
      <c r="I69">
        <f>IF($H$53&lt;&gt;"",O197,"")</f>
        <v/>
      </c>
      <c r="N69">
        <f>IF($N$53&lt;&gt;"",$N197,"")</f>
        <v/>
      </c>
      <c r="O69">
        <f>IF($N$53&lt;&gt;"",O197,"")</f>
        <v/>
      </c>
      <c r="T69">
        <f>IF($N$53&lt;&gt;"",$N197,"")</f>
        <v/>
      </c>
      <c r="U69">
        <f>IF($N$53&lt;&gt;"",$O197,"")</f>
        <v/>
      </c>
    </row>
    <row r="70">
      <c r="H70">
        <f>IF($H$53&lt;&gt;"",N198,"")</f>
        <v/>
      </c>
      <c r="I70">
        <f>IF($H$53&lt;&gt;"",O198,"")</f>
        <v/>
      </c>
      <c r="N70">
        <f>IF($N$53&lt;&gt;"",$N198,"")</f>
        <v/>
      </c>
      <c r="O70">
        <f>IF($N$53&lt;&gt;"",O198,"")</f>
        <v/>
      </c>
      <c r="T70">
        <f>IF($N$53&lt;&gt;"",$N198,"")</f>
        <v/>
      </c>
      <c r="U70">
        <f>IF($N$53&lt;&gt;"",$O198,"")</f>
        <v/>
      </c>
    </row>
    <row r="71">
      <c r="H71">
        <f>IF($H$53&lt;&gt;"",N199,"")</f>
        <v/>
      </c>
      <c r="I71">
        <f>IF($H$53&lt;&gt;"",O199,"")</f>
        <v/>
      </c>
      <c r="N71">
        <f>IF($N$53&lt;&gt;"",$N199,"")</f>
        <v/>
      </c>
      <c r="O71">
        <f>IF($N$53&lt;&gt;"",O199,"")</f>
        <v/>
      </c>
      <c r="T71">
        <f>IF($N$53&lt;&gt;"",$N199,"")</f>
        <v/>
      </c>
      <c r="U71">
        <f>IF($N$53&lt;&gt;"",$O199,"")</f>
        <v/>
      </c>
    </row>
    <row r="72">
      <c r="H72">
        <f>IF($H$53&lt;&gt;"",N200,"")</f>
        <v/>
      </c>
      <c r="I72">
        <f>IF($H$53&lt;&gt;"",O200,"")</f>
        <v/>
      </c>
      <c r="N72">
        <f>IF($N$53&lt;&gt;"",$N200,"")</f>
        <v/>
      </c>
      <c r="O72">
        <f>IF($N$53&lt;&gt;"",O200,"")</f>
        <v/>
      </c>
      <c r="T72">
        <f>IF($N$53&lt;&gt;"",$N200,"")</f>
        <v/>
      </c>
      <c r="U72">
        <f>IF($N$53&lt;&gt;"",$O200,"")</f>
        <v/>
      </c>
    </row>
    <row r="73">
      <c r="H73">
        <f>IF($H$53&lt;&gt;"",N201,"")</f>
        <v/>
      </c>
      <c r="I73">
        <f>IF($H$53&lt;&gt;"",O201,"")</f>
        <v/>
      </c>
      <c r="N73">
        <f>IF($N$53&lt;&gt;"",$N201,"")</f>
        <v/>
      </c>
      <c r="O73">
        <f>IF($N$53&lt;&gt;"",O201,"")</f>
        <v/>
      </c>
      <c r="T73">
        <f>IF($N$53&lt;&gt;"",$N201,"")</f>
        <v/>
      </c>
      <c r="U73">
        <f>IF($N$53&lt;&gt;"",$O201,"")</f>
        <v/>
      </c>
    </row>
    <row r="74">
      <c r="H74">
        <f>IF($H$53&lt;&gt;"",N202,"")</f>
        <v/>
      </c>
      <c r="I74">
        <f>IF($H$53&lt;&gt;"",O202,"")</f>
        <v/>
      </c>
      <c r="N74">
        <f>IF($N$53&lt;&gt;"",$N202,"")</f>
        <v/>
      </c>
      <c r="O74">
        <f>IF($N$53&lt;&gt;"",O202,"")</f>
        <v/>
      </c>
      <c r="T74">
        <f>IF($N$53&lt;&gt;"",$N202,"")</f>
        <v/>
      </c>
      <c r="U74">
        <f>IF($N$53&lt;&gt;"",$O202,"")</f>
        <v/>
      </c>
    </row>
    <row r="76" ht="15.75" customHeight="1" s="140">
      <c r="H76" s="32">
        <f>IF(Inputs!H11=TRUE,Income!B11,"")</f>
        <v/>
      </c>
      <c r="I76" s="32" t="n"/>
      <c r="J76" s="32" t="n"/>
      <c r="K76" s="32" t="n"/>
      <c r="L76" s="51" t="n"/>
    </row>
    <row r="77" ht="15.75" customHeight="1" s="140">
      <c r="H77" s="129">
        <f>IF($H$76&lt;&gt;"",N182,"")</f>
        <v/>
      </c>
      <c r="I77" s="129">
        <f>IF($H$76&lt;&gt;"",O182,"")</f>
        <v/>
      </c>
    </row>
    <row r="78">
      <c r="H78" s="76">
        <f>IF($H$76&lt;&gt;"",N183,"")</f>
        <v/>
      </c>
      <c r="I78" s="76">
        <f>IF($H$76&lt;&gt;"",O183,"")</f>
        <v/>
      </c>
    </row>
    <row r="79">
      <c r="H79" s="76">
        <f>IF($H$76&lt;&gt;"",N184,"")</f>
        <v/>
      </c>
      <c r="I79" s="76">
        <f>IF($H$76&lt;&gt;"",O184,"")</f>
        <v/>
      </c>
    </row>
    <row r="80">
      <c r="H80" s="76">
        <f>IF($H$76&lt;&gt;"",N185,"")</f>
        <v/>
      </c>
      <c r="I80" s="76">
        <f>IF($H$76&lt;&gt;"",O185,"")</f>
        <v/>
      </c>
    </row>
    <row r="81">
      <c r="H81" s="76">
        <f>IF($H$76&lt;&gt;"",N186,"")</f>
        <v/>
      </c>
      <c r="I81" s="76">
        <f>IF($H$76&lt;&gt;"",O186,"")</f>
        <v/>
      </c>
    </row>
    <row r="82">
      <c r="H82" s="76">
        <f>IF($H$76&lt;&gt;"",N187,"")</f>
        <v/>
      </c>
      <c r="I82" s="76">
        <f>IF($H$76&lt;&gt;"",O187,"")</f>
        <v/>
      </c>
    </row>
    <row r="83">
      <c r="H83" s="76">
        <f>IF($H$76&lt;&gt;"",N188,"")</f>
        <v/>
      </c>
      <c r="I83" s="76">
        <f>IF($H$76&lt;&gt;"",O188,"")</f>
        <v/>
      </c>
    </row>
    <row r="84">
      <c r="H84" s="76">
        <f>IF($H$76&lt;&gt;"",N189,"")</f>
        <v/>
      </c>
      <c r="I84" s="76">
        <f>IF($H$76&lt;&gt;"",O189,"")</f>
        <v/>
      </c>
    </row>
    <row r="85">
      <c r="H85" s="76">
        <f>IF($H$76&lt;&gt;"",N190,"")</f>
        <v/>
      </c>
      <c r="I85" s="76">
        <f>IF($H$76&lt;&gt;"",O190,"")</f>
        <v/>
      </c>
    </row>
    <row r="86">
      <c r="H86" s="76">
        <f>IF($H$76&lt;&gt;"",N191,"")</f>
        <v/>
      </c>
      <c r="I86" s="76">
        <f>IF($H$76&lt;&gt;"",O191,"")</f>
        <v/>
      </c>
    </row>
    <row r="87">
      <c r="H87" s="76">
        <f>IF($H$76&lt;&gt;"",N192,"")</f>
        <v/>
      </c>
      <c r="I87" s="76">
        <f>IF($H$76&lt;&gt;"",O192,"")</f>
        <v/>
      </c>
    </row>
    <row r="88">
      <c r="H88" s="76">
        <f>IF($H$76&lt;&gt;"",N193,"")</f>
        <v/>
      </c>
      <c r="I88" s="76">
        <f>IF($H$76&lt;&gt;"",O193,"")</f>
        <v/>
      </c>
    </row>
    <row r="89">
      <c r="H89" s="76">
        <f>IF($H$76&lt;&gt;"",N194,"")</f>
        <v/>
      </c>
      <c r="I89" s="76">
        <f>IF($H$76&lt;&gt;"",O194,"")</f>
        <v/>
      </c>
    </row>
    <row r="90">
      <c r="H90" s="76">
        <f>IF($H$76&lt;&gt;"",N195,"")</f>
        <v/>
      </c>
      <c r="I90" s="76">
        <f>IF($H$76&lt;&gt;"",O195,"")</f>
        <v/>
      </c>
    </row>
    <row r="91">
      <c r="H91" s="76">
        <f>IF($H$76&lt;&gt;"",N196,"")</f>
        <v/>
      </c>
      <c r="I91" s="76">
        <f>IF($H$76&lt;&gt;"",O196,"")</f>
        <v/>
      </c>
    </row>
    <row r="92">
      <c r="H92" s="76">
        <f>IF($H$76&lt;&gt;"",N197,"")</f>
        <v/>
      </c>
      <c r="I92" s="76">
        <f>IF($H$76&lt;&gt;"",O197,"")</f>
        <v/>
      </c>
    </row>
    <row r="93">
      <c r="H93" s="76">
        <f>IF($H$76&lt;&gt;"",N198,"")</f>
        <v/>
      </c>
      <c r="I93" s="76">
        <f>IF($H$76&lt;&gt;"",O198,"")</f>
        <v/>
      </c>
    </row>
    <row r="94">
      <c r="H94" s="76">
        <f>IF($H$76&lt;&gt;"",N199,"")</f>
        <v/>
      </c>
      <c r="I94" s="76">
        <f>IF($H$76&lt;&gt;"",O199,"")</f>
        <v/>
      </c>
    </row>
    <row r="95">
      <c r="H95" s="76">
        <f>IF($H$76&lt;&gt;"",N200,"")</f>
        <v/>
      </c>
      <c r="I95" s="76">
        <f>IF($H$76&lt;&gt;"",O200,"")</f>
        <v/>
      </c>
    </row>
    <row r="96">
      <c r="H96" s="76">
        <f>IF($H$76&lt;&gt;"",N201,"")</f>
        <v/>
      </c>
      <c r="I96" s="76">
        <f>IF($H$76&lt;&gt;"",O201,"")</f>
        <v/>
      </c>
    </row>
    <row r="97">
      <c r="H97" s="76">
        <f>IF($H$76&lt;&gt;"",N202,"")</f>
        <v/>
      </c>
      <c r="I97" s="76">
        <f>IF($H$76&lt;&gt;"",O202,"")</f>
        <v/>
      </c>
    </row>
    <row r="99" ht="15.75" customHeight="1" s="140">
      <c r="H99" s="32">
        <f>IF(Inputs!H11=TRUE,Income!B12,"")</f>
        <v/>
      </c>
      <c r="I99" s="32" t="n"/>
      <c r="J99" s="32" t="n"/>
      <c r="K99" s="32" t="n"/>
      <c r="L99" s="51" t="n"/>
    </row>
    <row r="100" ht="15.75" customHeight="1" s="140">
      <c r="H100" s="129">
        <f>IF($H$99&lt;&gt;"",T182,"")</f>
        <v/>
      </c>
      <c r="I100" s="129">
        <f>IF($H$99&lt;&gt;"",U182,"")</f>
        <v/>
      </c>
      <c r="J100" s="129" t="n"/>
      <c r="K100" s="129" t="n"/>
      <c r="L100" s="129">
        <f>IF($H$99&lt;&gt;"",X182,"")</f>
        <v/>
      </c>
    </row>
    <row r="101">
      <c r="H101">
        <f>IF($H$99&lt;&gt;"",T183,"")</f>
        <v/>
      </c>
      <c r="I101">
        <f>IF($H$99&lt;&gt;"",U183,"")</f>
        <v/>
      </c>
    </row>
    <row r="102">
      <c r="H102">
        <f>IF($H$99&lt;&gt;"",T184,"")</f>
        <v/>
      </c>
      <c r="I102">
        <f>IF($H$99&lt;&gt;"",U184,"")</f>
        <v/>
      </c>
    </row>
    <row r="103">
      <c r="H103">
        <f>IF($H$99&lt;&gt;"",T185,"")</f>
        <v/>
      </c>
      <c r="I103">
        <f>IF($H$99&lt;&gt;"",U185,"")</f>
        <v/>
      </c>
    </row>
    <row r="104">
      <c r="H104">
        <f>IF($H$99&lt;&gt;"",T186,"")</f>
        <v/>
      </c>
      <c r="I104">
        <f>IF($H$99&lt;&gt;"",U186,"")</f>
        <v/>
      </c>
    </row>
    <row r="105">
      <c r="H105">
        <f>IF($H$99&lt;&gt;"",T187,"")</f>
        <v/>
      </c>
      <c r="I105">
        <f>IF($H$99&lt;&gt;"",U187,"")</f>
        <v/>
      </c>
    </row>
    <row r="106">
      <c r="H106">
        <f>IF($H$99&lt;&gt;"",T188,"")</f>
        <v/>
      </c>
      <c r="I106">
        <f>IF($H$99&lt;&gt;"",U188,"")</f>
        <v/>
      </c>
    </row>
    <row r="107">
      <c r="H107">
        <f>IF($H$99&lt;&gt;"",T189,"")</f>
        <v/>
      </c>
      <c r="I107">
        <f>IF($H$99&lt;&gt;"",U189,"")</f>
        <v/>
      </c>
    </row>
    <row r="108">
      <c r="H108">
        <f>IF($H$99&lt;&gt;"",T190,"")</f>
        <v/>
      </c>
      <c r="I108">
        <f>IF($H$99&lt;&gt;"",U190,"")</f>
        <v/>
      </c>
    </row>
    <row r="109">
      <c r="H109">
        <f>IF($H$99&lt;&gt;"",T191,"")</f>
        <v/>
      </c>
      <c r="I109">
        <f>IF($H$99&lt;&gt;"",U191,"")</f>
        <v/>
      </c>
    </row>
    <row r="110">
      <c r="H110">
        <f>IF($H$99&lt;&gt;"",T192,"")</f>
        <v/>
      </c>
      <c r="I110">
        <f>IF($H$99&lt;&gt;"",U192,"")</f>
        <v/>
      </c>
    </row>
    <row r="111">
      <c r="H111">
        <f>IF($H$99&lt;&gt;"",T193,"")</f>
        <v/>
      </c>
      <c r="I111">
        <f>IF($H$99&lt;&gt;"",U193,"")</f>
        <v/>
      </c>
    </row>
    <row r="112">
      <c r="H112">
        <f>IF($H$99&lt;&gt;"",T194,"")</f>
        <v/>
      </c>
      <c r="I112">
        <f>IF($H$99&lt;&gt;"",U194,"")</f>
        <v/>
      </c>
    </row>
    <row r="113">
      <c r="H113">
        <f>IF($H$99&lt;&gt;"",T195,"")</f>
        <v/>
      </c>
      <c r="I113">
        <f>IF($H$99&lt;&gt;"",U195,"")</f>
        <v/>
      </c>
    </row>
    <row r="114">
      <c r="H114">
        <f>IF($H$99&lt;&gt;"",T196,"")</f>
        <v/>
      </c>
      <c r="I114">
        <f>IF($H$99&lt;&gt;"",U196,"")</f>
        <v/>
      </c>
    </row>
    <row r="115">
      <c r="H115">
        <f>IF($H$99&lt;&gt;"",T197,"")</f>
        <v/>
      </c>
      <c r="I115">
        <f>IF($H$99&lt;&gt;"",U197,"")</f>
        <v/>
      </c>
    </row>
    <row r="116">
      <c r="H116">
        <f>IF($H$99&lt;&gt;"",T198,"")</f>
        <v/>
      </c>
      <c r="I116">
        <f>IF($H$99&lt;&gt;"",U198,"")</f>
        <v/>
      </c>
    </row>
    <row r="117">
      <c r="H117">
        <f>IF($H$99&lt;&gt;"",T199,"")</f>
        <v/>
      </c>
      <c r="I117">
        <f>IF($H$99&lt;&gt;"",U199,"")</f>
        <v/>
      </c>
    </row>
    <row r="118">
      <c r="H118">
        <f>IF($H$99&lt;&gt;"",T200,"")</f>
        <v/>
      </c>
      <c r="I118">
        <f>IF($H$99&lt;&gt;"",U200,"")</f>
        <v/>
      </c>
    </row>
    <row r="119">
      <c r="H119">
        <f>IF($H$99&lt;&gt;"",T201,"")</f>
        <v/>
      </c>
      <c r="I119">
        <f>IF($H$99&lt;&gt;"",U201,"")</f>
        <v/>
      </c>
    </row>
    <row r="120">
      <c r="H120">
        <f>IF($H$99&lt;&gt;"",T202,"")</f>
        <v/>
      </c>
      <c r="I120">
        <f>IF($H$99&lt;&gt;"",U202,"")</f>
        <v/>
      </c>
    </row>
    <row r="123" ht="15.75" customHeight="1" s="140">
      <c r="H123" s="32">
        <f>IF(Inputs!H13=TRUE,Income!B13,"")</f>
        <v/>
      </c>
      <c r="I123" s="32" t="n"/>
      <c r="J123" s="32" t="n"/>
      <c r="K123" s="32" t="n"/>
      <c r="L123" s="51" t="n"/>
    </row>
    <row r="124" ht="15.75" customHeight="1" s="140">
      <c r="H124" s="129">
        <f>IF($H$123&lt;&gt;"",B182,"")</f>
        <v/>
      </c>
      <c r="I124" s="129">
        <f>IF($H$123&lt;&gt;"",C182,"")</f>
        <v/>
      </c>
      <c r="L124" s="55" t="n"/>
    </row>
    <row r="125">
      <c r="H125" s="76">
        <f>IF($H$123&lt;&gt;"",B183,"")</f>
        <v/>
      </c>
      <c r="I125" s="76">
        <f>IF($H$123&lt;&gt;"",C183,"")</f>
        <v/>
      </c>
      <c r="L125" s="55" t="n"/>
    </row>
    <row r="126">
      <c r="H126" s="76">
        <f>IF($H$123&lt;&gt;"",B184,"")</f>
        <v/>
      </c>
      <c r="I126" s="76">
        <f>IF($H$123&lt;&gt;"",C184,"")</f>
        <v/>
      </c>
      <c r="L126" s="55" t="n"/>
    </row>
    <row r="127">
      <c r="H127" s="76">
        <f>IF($H$123&lt;&gt;"",B185,"")</f>
        <v/>
      </c>
      <c r="I127" s="76">
        <f>IF($H$123&lt;&gt;"",C185,"")</f>
        <v/>
      </c>
      <c r="L127" s="55" t="n"/>
    </row>
    <row r="128">
      <c r="H128" s="76">
        <f>IF($H$123&lt;&gt;"",B186,"")</f>
        <v/>
      </c>
      <c r="I128" s="76">
        <f>IF($H$123&lt;&gt;"",C186,"")</f>
        <v/>
      </c>
      <c r="L128" s="55" t="n"/>
    </row>
    <row r="129">
      <c r="H129" s="76">
        <f>IF($H$123&lt;&gt;"",B187,"")</f>
        <v/>
      </c>
      <c r="I129" s="76">
        <f>IF($H$123&lt;&gt;"",C187,"")</f>
        <v/>
      </c>
      <c r="L129" s="55" t="n"/>
    </row>
    <row r="130">
      <c r="H130" s="76">
        <f>IF($H$123&lt;&gt;"",B188,"")</f>
        <v/>
      </c>
      <c r="I130" s="76">
        <f>IF($H$123&lt;&gt;"",C188,"")</f>
        <v/>
      </c>
      <c r="L130" s="55" t="n"/>
    </row>
    <row r="131">
      <c r="H131" s="76">
        <f>IF($H$123&lt;&gt;"",B189,"")</f>
        <v/>
      </c>
      <c r="I131" s="76">
        <f>IF($H$123&lt;&gt;"",C189,"")</f>
        <v/>
      </c>
      <c r="L131" s="55" t="n"/>
    </row>
    <row r="132">
      <c r="H132" s="76">
        <f>IF($H$123&lt;&gt;"",B190,"")</f>
        <v/>
      </c>
      <c r="I132" s="76">
        <f>IF($H$123&lt;&gt;"",C190,"")</f>
        <v/>
      </c>
      <c r="L132" s="55" t="n"/>
    </row>
    <row r="133">
      <c r="H133" s="76">
        <f>IF($H$123&lt;&gt;"",B191,"")</f>
        <v/>
      </c>
      <c r="I133" s="76">
        <f>IF($H$123&lt;&gt;"",C191,"")</f>
        <v/>
      </c>
      <c r="L133" s="55" t="n"/>
    </row>
    <row r="134">
      <c r="H134" s="76">
        <f>IF($H$123&lt;&gt;"",B192,"")</f>
        <v/>
      </c>
      <c r="I134" s="76">
        <f>IF($H$123&lt;&gt;"",C192,"")</f>
        <v/>
      </c>
      <c r="L134" s="55" t="n"/>
    </row>
    <row r="135">
      <c r="H135" s="76">
        <f>IF($H$123&lt;&gt;"",B193,"")</f>
        <v/>
      </c>
      <c r="I135" s="76">
        <f>IF($H$123&lt;&gt;"",C193,"")</f>
        <v/>
      </c>
      <c r="L135" s="55" t="n"/>
    </row>
    <row r="136">
      <c r="H136" s="76">
        <f>IF($H$123&lt;&gt;"",B194,"")</f>
        <v/>
      </c>
      <c r="I136" s="76">
        <f>IF($H$123&lt;&gt;"",C194,"")</f>
        <v/>
      </c>
      <c r="L136" s="55" t="n"/>
    </row>
    <row r="137">
      <c r="H137" s="76">
        <f>IF($H$123&lt;&gt;"",B195,"")</f>
        <v/>
      </c>
      <c r="I137" s="76">
        <f>IF($H$123&lt;&gt;"",C195,"")</f>
        <v/>
      </c>
      <c r="L137" s="55" t="n"/>
    </row>
    <row r="138">
      <c r="H138" s="76">
        <f>IF($H$123&lt;&gt;"",B196,"")</f>
        <v/>
      </c>
      <c r="I138" s="76">
        <f>IF($H$123&lt;&gt;"",C196,"")</f>
        <v/>
      </c>
      <c r="L138" s="55" t="n"/>
    </row>
    <row r="139">
      <c r="H139" s="76">
        <f>IF($H$123&lt;&gt;"",B197,"")</f>
        <v/>
      </c>
      <c r="I139" s="76">
        <f>IF($H$123&lt;&gt;"",C197,"")</f>
        <v/>
      </c>
      <c r="L139" s="55" t="n"/>
    </row>
    <row r="140">
      <c r="H140" s="76">
        <f>IF($H$123&lt;&gt;"",B198,"")</f>
        <v/>
      </c>
      <c r="I140" s="76">
        <f>IF($H$123&lt;&gt;"",C198,"")</f>
        <v/>
      </c>
      <c r="L140" s="55" t="n"/>
    </row>
    <row r="141">
      <c r="H141" s="76">
        <f>IF($H$123&lt;&gt;"",B199,"")</f>
        <v/>
      </c>
      <c r="I141" s="76">
        <f>IF($H$123&lt;&gt;"",C199,"")</f>
        <v/>
      </c>
      <c r="L141" s="55" t="n"/>
    </row>
    <row r="142">
      <c r="H142" s="76">
        <f>IF($H$123&lt;&gt;"",B200,"")</f>
        <v/>
      </c>
      <c r="I142" s="76">
        <f>IF($H$123&lt;&gt;"",C200,"")</f>
        <v/>
      </c>
      <c r="L142" s="55" t="n"/>
    </row>
    <row r="143">
      <c r="H143" s="76">
        <f>IF($H$123&lt;&gt;"",B201,"")</f>
        <v/>
      </c>
      <c r="I143" s="76">
        <f>IF($H$123&lt;&gt;"",C201,"")</f>
        <v/>
      </c>
      <c r="L143" s="55" t="n">
        <v>-355778</v>
      </c>
    </row>
    <row r="144" ht="15.75" customHeight="1" s="140">
      <c r="H144" s="129" t="n"/>
    </row>
    <row r="145" ht="15.75" customHeight="1" s="140">
      <c r="H145" s="129" t="n"/>
    </row>
    <row r="148" ht="15.75" customHeight="1" s="140">
      <c r="A148" s="117" t="n"/>
      <c r="B148" s="119" t="inlineStr">
        <is>
          <t>Formats for the Income</t>
        </is>
      </c>
      <c r="C148" s="117" t="n"/>
      <c r="D148" s="117" t="n"/>
      <c r="E148" s="117" t="n"/>
      <c r="F148" s="117" t="n"/>
      <c r="G148" s="117" t="n"/>
      <c r="H148" s="117" t="n"/>
      <c r="I148" s="117" t="n"/>
      <c r="J148" s="117" t="n"/>
      <c r="K148" s="117" t="n"/>
      <c r="L148" s="118" t="n"/>
      <c r="M148" s="117" t="n"/>
      <c r="N148" s="117" t="n"/>
      <c r="O148" s="117" t="n"/>
      <c r="P148" s="117" t="n"/>
      <c r="Q148" s="117" t="n"/>
      <c r="R148" s="117" t="n"/>
      <c r="S148" s="117" t="n"/>
      <c r="T148" s="117" t="n"/>
      <c r="U148" s="117" t="n"/>
      <c r="V148" s="117" t="n"/>
      <c r="W148" s="117" t="n"/>
      <c r="X148" s="117" t="n"/>
      <c r="Y148" s="117" t="n"/>
      <c r="Z148" s="117" t="n"/>
      <c r="AA148" s="117" t="n"/>
      <c r="AB148" s="117" t="n"/>
      <c r="AC148" s="117" t="n"/>
      <c r="AD148" s="117" t="n"/>
      <c r="AE148" s="117" t="n"/>
      <c r="AF148" s="117" t="n"/>
      <c r="AG148" s="117" t="n"/>
      <c r="AH148" s="117" t="n"/>
    </row>
    <row r="149">
      <c r="D149" s="79" t="n"/>
    </row>
    <row r="150" ht="15.75" customHeight="1" s="140">
      <c r="B150" s="32" t="inlineStr">
        <is>
          <t>1099-R</t>
        </is>
      </c>
      <c r="C150" s="32" t="n"/>
      <c r="D150" s="32" t="n"/>
      <c r="E150" s="32" t="n"/>
      <c r="F150" s="51" t="n"/>
      <c r="H150" s="32" t="inlineStr">
        <is>
          <t>1099-DIV</t>
        </is>
      </c>
      <c r="I150" s="32" t="n"/>
      <c r="J150" s="32" t="n"/>
      <c r="K150" s="32" t="n"/>
      <c r="L150" s="32" t="n"/>
      <c r="N150" s="32" t="inlineStr">
        <is>
          <t>1099-INT</t>
        </is>
      </c>
      <c r="O150" s="32" t="n"/>
      <c r="P150" s="32" t="n"/>
      <c r="Q150" s="32" t="n"/>
      <c r="R150" s="32" t="n"/>
    </row>
    <row r="151" ht="15.75" customHeight="1" s="140">
      <c r="B151" s="80" t="inlineStr">
        <is>
          <t xml:space="preserve">Gross distribution </t>
        </is>
      </c>
      <c r="C151" s="50" t="n"/>
      <c r="D151" s="50" t="n"/>
      <c r="H151" t="inlineStr">
        <is>
          <t>Ordinary Dividends</t>
        </is>
      </c>
      <c r="L151" s="24" t="n"/>
      <c r="N151" s="79" t="inlineStr">
        <is>
          <t>Interest income (from banks, savings, CDs, etc.)</t>
        </is>
      </c>
      <c r="O151" s="50" t="n"/>
      <c r="P151" s="50" t="n"/>
      <c r="R151" s="24" t="n"/>
    </row>
    <row r="152">
      <c r="B152" s="80" t="inlineStr">
        <is>
          <t>Rollover Distribution</t>
        </is>
      </c>
      <c r="D152" s="79" t="n"/>
      <c r="H152" t="inlineStr">
        <is>
          <t>Qualified Dividends</t>
        </is>
      </c>
      <c r="L152" s="24" t="n"/>
      <c r="N152" s="79" t="inlineStr">
        <is>
          <t>U.S. Treasury interest (savings bonds, T-bills)</t>
        </is>
      </c>
      <c r="P152" s="79" t="n"/>
      <c r="R152" s="24" t="n"/>
    </row>
    <row r="153">
      <c r="B153" s="80" t="inlineStr">
        <is>
          <t>Federal income tax withheld</t>
        </is>
      </c>
      <c r="D153" s="79" t="n"/>
      <c r="H153" t="inlineStr">
        <is>
          <t>Income Tax Witheld</t>
        </is>
      </c>
      <c r="L153" s="24" t="n"/>
      <c r="N153" s="79" t="inlineStr">
        <is>
          <t>Federal income tax withheld</t>
        </is>
      </c>
      <c r="P153" s="79" t="n"/>
      <c r="R153" s="24" t="n"/>
    </row>
    <row r="154">
      <c r="B154" s="80" t="inlineStr">
        <is>
          <t xml:space="preserve">Distribution code </t>
        </is>
      </c>
      <c r="D154" s="79" t="n"/>
      <c r="H154" t="inlineStr">
        <is>
          <t>Foreign tax Credit</t>
        </is>
      </c>
      <c r="L154" s="24" t="n"/>
      <c r="N154" s="79" t="inlineStr">
        <is>
          <t>Tax-exempt interest (municipal bonds)</t>
        </is>
      </c>
      <c r="P154" s="79" t="n"/>
      <c r="R154" s="24" t="n"/>
    </row>
    <row r="155" ht="15.75" customHeight="1" s="140">
      <c r="B155" s="80" t="inlineStr">
        <is>
          <t>Total employee contributions</t>
        </is>
      </c>
      <c r="D155" s="79" t="n"/>
      <c r="H155" t="inlineStr">
        <is>
          <t>Capital Gain Distribution</t>
        </is>
      </c>
      <c r="N155" s="15" t="inlineStr">
        <is>
          <t>Total Interest</t>
        </is>
      </c>
      <c r="O155" s="15" t="n"/>
      <c r="P155" s="113" t="n"/>
      <c r="Q155" s="15" t="n"/>
      <c r="R155" s="15" t="n"/>
    </row>
    <row r="156" ht="15.75" customHeight="1" s="140">
      <c r="B156" s="80" t="inlineStr">
        <is>
          <t>State tax withheld</t>
        </is>
      </c>
      <c r="D156" s="79" t="n"/>
      <c r="H156" s="15" t="inlineStr">
        <is>
          <t>Total Dividends</t>
        </is>
      </c>
      <c r="I156" s="15" t="n"/>
      <c r="J156" s="15" t="n"/>
      <c r="K156" s="15" t="n"/>
      <c r="L156" s="15" t="n"/>
    </row>
    <row r="157" ht="15.75" customHeight="1" s="140">
      <c r="B157" s="80" t="inlineStr">
        <is>
          <t>State/Payer’s state number</t>
        </is>
      </c>
      <c r="D157" s="79" t="n"/>
      <c r="T157" s="50" t="n"/>
      <c r="U157" s="50" t="n"/>
      <c r="V157" s="79" t="n"/>
    </row>
    <row r="158" ht="15.75" customHeight="1" s="140">
      <c r="T158" s="50" t="n"/>
      <c r="U158" s="50" t="n"/>
      <c r="V158" s="79" t="n"/>
    </row>
    <row r="159" ht="15.75" customHeight="1" s="140">
      <c r="B159" s="32" t="inlineStr">
        <is>
          <t>1099-MISC</t>
        </is>
      </c>
      <c r="C159" s="32" t="n"/>
      <c r="D159" s="32" t="n"/>
      <c r="E159" s="32" t="n"/>
      <c r="F159" s="51" t="n"/>
      <c r="H159" s="32" t="inlineStr">
        <is>
          <t>1099-NEC</t>
        </is>
      </c>
      <c r="I159" s="32" t="n"/>
      <c r="J159" s="32" t="n"/>
      <c r="K159" s="32" t="n"/>
      <c r="L159" s="51" t="n"/>
    </row>
    <row r="160">
      <c r="B160" t="inlineStr">
        <is>
          <t>Rents</t>
        </is>
      </c>
      <c r="H160" t="inlineStr">
        <is>
          <t>Non Employe Compensation</t>
        </is>
      </c>
    </row>
    <row r="161">
      <c r="B161" t="inlineStr">
        <is>
          <t>Royalties</t>
        </is>
      </c>
      <c r="H161" t="inlineStr">
        <is>
          <t>Federal Tax Witheld</t>
        </is>
      </c>
    </row>
    <row r="162" ht="15.75" customHeight="1" s="140">
      <c r="B162" t="inlineStr">
        <is>
          <t>Other Income</t>
        </is>
      </c>
      <c r="H162" s="15" t="inlineStr">
        <is>
          <t>Total Reported</t>
        </is>
      </c>
      <c r="I162" s="15" t="n"/>
      <c r="J162" s="15" t="n"/>
      <c r="K162" s="15" t="n"/>
      <c r="L162" s="15" t="n"/>
    </row>
    <row r="163">
      <c r="B163" t="inlineStr">
        <is>
          <t>Federal Income tax Witheld</t>
        </is>
      </c>
    </row>
    <row r="164">
      <c r="B164" t="inlineStr">
        <is>
          <t>Medical and health care payments</t>
        </is>
      </c>
    </row>
    <row r="165" ht="15.75" customHeight="1" s="140">
      <c r="B165" t="inlineStr">
        <is>
          <t>Crop Insurance Proceeds</t>
        </is>
      </c>
      <c r="H165" s="32" t="inlineStr">
        <is>
          <t>1099-B</t>
        </is>
      </c>
      <c r="I165" s="32" t="n"/>
      <c r="J165" s="32" t="n"/>
      <c r="K165" s="32" t="n"/>
      <c r="L165" s="51" t="n"/>
    </row>
    <row r="166">
      <c r="B166" t="inlineStr">
        <is>
          <t>State tax Witheld</t>
        </is>
      </c>
      <c r="H166" t="inlineStr">
        <is>
          <t>Proceeds</t>
        </is>
      </c>
    </row>
    <row r="167">
      <c r="H167" t="inlineStr">
        <is>
          <t>Cost or Other Basis</t>
        </is>
      </c>
    </row>
    <row r="168" ht="15.75" customHeight="1" s="140">
      <c r="B168" s="32" t="inlineStr">
        <is>
          <t>W-2</t>
        </is>
      </c>
      <c r="C168" s="32" t="n"/>
      <c r="D168" s="32" t="n"/>
      <c r="E168" s="32" t="n"/>
      <c r="F168" s="51" t="n"/>
      <c r="H168" t="inlineStr">
        <is>
          <t>Investment Type</t>
        </is>
      </c>
      <c r="L168" t="inlineStr">
        <is>
          <t>Short Term Gain</t>
        </is>
      </c>
      <c r="N168" t="inlineStr">
        <is>
          <t>(A) Short-term showing basis was reported to the IRS</t>
        </is>
      </c>
    </row>
    <row r="169">
      <c r="B169" t="inlineStr">
        <is>
          <t>Box 1 – Wages, tips, other compensation</t>
        </is>
      </c>
      <c r="F169" s="55" t="n"/>
      <c r="H169" t="inlineStr">
        <is>
          <t>Wash Sale Dissallowed</t>
        </is>
      </c>
      <c r="L169" t="inlineStr">
        <is>
          <t>Yes</t>
        </is>
      </c>
      <c r="N169" t="inlineStr">
        <is>
          <t>(B) Short-term showing basis wasn't reported to the IRS</t>
        </is>
      </c>
    </row>
    <row r="170">
      <c r="B170" t="inlineStr">
        <is>
          <t>Box 2 – Federal income tax withheld</t>
        </is>
      </c>
      <c r="F170" s="55" t="n"/>
      <c r="H170" t="inlineStr">
        <is>
          <t>Federal tax Witheld</t>
        </is>
      </c>
      <c r="N170" t="inlineStr">
        <is>
          <t>(C) Short-term transactions not reported to you on Form 1099-B</t>
        </is>
      </c>
    </row>
    <row r="171">
      <c r="B171" t="inlineStr">
        <is>
          <t>Box 3 – Social Security wages</t>
        </is>
      </c>
      <c r="F171" s="53" t="n"/>
      <c r="H171" t="inlineStr">
        <is>
          <t>Capital Gain Distribution</t>
        </is>
      </c>
      <c r="N171" t="inlineStr">
        <is>
          <t>(D) Long-term showing basis was reported to the IRS</t>
        </is>
      </c>
    </row>
    <row r="172">
      <c r="B172" t="inlineStr">
        <is>
          <t>Box 4 – Social Security tax withheld</t>
        </is>
      </c>
      <c r="F172" s="53" t="n"/>
      <c r="H172" t="inlineStr">
        <is>
          <t>Gain/Loss</t>
        </is>
      </c>
      <c r="N172" t="inlineStr">
        <is>
          <t>(E) Long-term showing basis wasn't reported to the IRS</t>
        </is>
      </c>
    </row>
    <row r="173">
      <c r="B173" t="inlineStr">
        <is>
          <t>Box 5 – Medicare wages and tips</t>
        </is>
      </c>
      <c r="F173" s="53" t="n"/>
      <c r="N173" t="inlineStr">
        <is>
          <t>(F) Long-term transactions not reported to you on Form 1099-B</t>
        </is>
      </c>
    </row>
    <row r="174">
      <c r="B174" t="inlineStr">
        <is>
          <t>Box 6 – Medicare tax withheld</t>
        </is>
      </c>
      <c r="F174" s="53" t="n"/>
    </row>
    <row r="175">
      <c r="B175" t="inlineStr">
        <is>
          <t>Box 7 – Social Security tips</t>
        </is>
      </c>
      <c r="F175" s="55" t="n"/>
    </row>
    <row r="176">
      <c r="B176" t="inlineStr">
        <is>
          <t>Box 8 – Allocated tips</t>
        </is>
      </c>
      <c r="F176" s="55" t="n"/>
    </row>
    <row r="177" ht="18" customHeight="1" s="140">
      <c r="B177" t="inlineStr">
        <is>
          <t>Box 9 – Verification code (rare, sometimes blank)</t>
        </is>
      </c>
      <c r="F177" s="55" t="n"/>
    </row>
    <row r="178">
      <c r="B178" t="inlineStr">
        <is>
          <t>Box 10 – Dependent care benefits</t>
        </is>
      </c>
      <c r="F178" s="55" t="n"/>
    </row>
    <row r="179">
      <c r="B179" t="inlineStr">
        <is>
          <t>Box 11 – Nonqualified plans</t>
        </is>
      </c>
      <c r="F179" s="55" t="n"/>
    </row>
    <row r="181" ht="15.75" customHeight="1" s="140">
      <c r="B181" s="32" t="inlineStr">
        <is>
          <t>Schedule C (Sole Properietorship)</t>
        </is>
      </c>
      <c r="C181" s="32" t="n"/>
      <c r="D181" s="32" t="n"/>
      <c r="E181" s="32" t="n"/>
      <c r="F181" s="51" t="n"/>
      <c r="H181" s="32" t="inlineStr">
        <is>
          <t>Schedule F (Farming Income)</t>
        </is>
      </c>
      <c r="I181" s="32" t="n"/>
      <c r="J181" s="32" t="n"/>
      <c r="K181" s="32" t="n"/>
      <c r="L181" s="51" t="n"/>
      <c r="N181" s="32" t="inlineStr">
        <is>
          <t>Schedule E (Schedule K-1 S Corp)</t>
        </is>
      </c>
      <c r="O181" s="32" t="n"/>
      <c r="P181" s="32" t="n"/>
      <c r="Q181" s="32" t="n"/>
      <c r="R181" s="51" t="n"/>
      <c r="T181" s="32" t="inlineStr">
        <is>
          <t>Schedule E (Rental Income)</t>
        </is>
      </c>
      <c r="U181" s="32" t="n"/>
      <c r="V181" s="32" t="n"/>
      <c r="W181" s="32" t="n"/>
      <c r="X181" s="51" t="n"/>
      <c r="Z181" s="32" t="inlineStr">
        <is>
          <t>Schedule E (K-1 Partnership)</t>
        </is>
      </c>
      <c r="AA181" s="32" t="n"/>
      <c r="AB181" s="32" t="n"/>
      <c r="AC181" s="32" t="n"/>
      <c r="AD181" s="32" t="n"/>
    </row>
    <row r="182" ht="15.75" customHeight="1" s="140">
      <c r="B182" s="50" t="inlineStr">
        <is>
          <t>Part</t>
        </is>
      </c>
      <c r="C182" s="99" t="inlineStr">
        <is>
          <t>What it Covers</t>
        </is>
      </c>
      <c r="D182" s="50" t="n"/>
      <c r="H182" s="50" t="inlineStr">
        <is>
          <t>Part</t>
        </is>
      </c>
      <c r="I182" s="50" t="inlineStr">
        <is>
          <t>Section</t>
        </is>
      </c>
      <c r="J182" s="50" t="n"/>
      <c r="N182" s="50" t="inlineStr">
        <is>
          <t>K-1 Box</t>
        </is>
      </c>
      <c r="O182" s="50" t="inlineStr">
        <is>
          <t>Description</t>
        </is>
      </c>
      <c r="P182" s="50" t="n"/>
      <c r="R182" s="41" t="n"/>
      <c r="T182" s="50" t="inlineStr">
        <is>
          <t>Line</t>
        </is>
      </c>
      <c r="U182" s="50" t="inlineStr">
        <is>
          <t>Description</t>
        </is>
      </c>
      <c r="X182" s="50" t="inlineStr">
        <is>
          <t>Amount</t>
        </is>
      </c>
      <c r="Z182" s="50" t="inlineStr">
        <is>
          <t>K-1 Box</t>
        </is>
      </c>
      <c r="AA182" s="50" t="inlineStr">
        <is>
          <t>Description</t>
        </is>
      </c>
      <c r="AB182" s="50" t="n"/>
    </row>
    <row r="183" ht="15.75" customHeight="1" s="140">
      <c r="B183" s="50" t="inlineStr">
        <is>
          <t>Part I</t>
        </is>
      </c>
      <c r="C183" s="80" t="inlineStr">
        <is>
          <t>Income</t>
        </is>
      </c>
      <c r="D183" s="79" t="n"/>
      <c r="H183" s="50" t="inlineStr">
        <is>
          <t>Part I</t>
        </is>
      </c>
      <c r="I183" s="80" t="inlineStr">
        <is>
          <t>Farm Income</t>
        </is>
      </c>
      <c r="J183" s="79" t="n"/>
      <c r="N183" s="50" t="inlineStr">
        <is>
          <t>Box 1</t>
        </is>
      </c>
      <c r="O183" s="79" t="inlineStr">
        <is>
          <t>Ordinary business income (loss)</t>
        </is>
      </c>
      <c r="P183" s="79" t="n"/>
      <c r="R183" s="41" t="n"/>
      <c r="T183" s="50" t="inlineStr">
        <is>
          <t>Line 2</t>
        </is>
      </c>
      <c r="U183" s="79" t="inlineStr">
        <is>
          <t>Rents received</t>
        </is>
      </c>
      <c r="X183" s="142" t="n"/>
      <c r="Z183" s="50" t="inlineStr">
        <is>
          <t>Box 1</t>
        </is>
      </c>
      <c r="AA183" s="79" t="inlineStr">
        <is>
          <t>Ordinary business income (loss)</t>
        </is>
      </c>
      <c r="AB183" s="79" t="n"/>
    </row>
    <row r="184" ht="15.75" customHeight="1" s="140">
      <c r="B184" s="50" t="inlineStr">
        <is>
          <t>Part II</t>
        </is>
      </c>
      <c r="C184" s="80" t="inlineStr">
        <is>
          <t>Expenses</t>
        </is>
      </c>
      <c r="D184" s="79" t="n"/>
      <c r="H184" s="50" t="inlineStr">
        <is>
          <t>Part II</t>
        </is>
      </c>
      <c r="I184" s="80" t="inlineStr">
        <is>
          <t>Farm Expenses</t>
        </is>
      </c>
      <c r="J184" s="79" t="n"/>
      <c r="N184" s="50" t="inlineStr">
        <is>
          <t>Box 2</t>
        </is>
      </c>
      <c r="O184" s="79" t="inlineStr">
        <is>
          <t>Net rental real estate income (loss)</t>
        </is>
      </c>
      <c r="P184" s="79" t="n"/>
      <c r="R184" s="41" t="n"/>
      <c r="T184" s="50" t="inlineStr">
        <is>
          <t>Line 3–19</t>
        </is>
      </c>
      <c r="U184" s="79" t="inlineStr">
        <is>
          <t>Expenses (below)</t>
        </is>
      </c>
      <c r="X184" s="79" t="n"/>
      <c r="Z184" s="50" t="inlineStr">
        <is>
          <t>Box 2</t>
        </is>
      </c>
      <c r="AA184" s="79" t="inlineStr">
        <is>
          <t>Net rental real estate income (loss)</t>
        </is>
      </c>
      <c r="AB184" s="79" t="n"/>
    </row>
    <row r="185" ht="15.75" customHeight="1" s="140">
      <c r="B185" s="50" t="inlineStr">
        <is>
          <t>Part III</t>
        </is>
      </c>
      <c r="C185" s="80" t="inlineStr">
        <is>
          <t>Cost of Goods Sold (COGS)</t>
        </is>
      </c>
      <c r="D185" s="79" t="n"/>
      <c r="H185" s="50" t="inlineStr">
        <is>
          <t>Part III</t>
        </is>
      </c>
      <c r="I185" s="80" t="inlineStr">
        <is>
          <t>Cost of Goods Sold</t>
        </is>
      </c>
      <c r="J185" s="79" t="n"/>
      <c r="N185" s="50" t="inlineStr">
        <is>
          <t>Box 3</t>
        </is>
      </c>
      <c r="O185" s="79" t="inlineStr">
        <is>
          <t>Other net rental income (loss)</t>
        </is>
      </c>
      <c r="P185" s="79" t="n"/>
      <c r="R185" s="41" t="n"/>
      <c r="T185" s="50" t="inlineStr">
        <is>
          <t>Line 20</t>
        </is>
      </c>
      <c r="U185" s="79" t="inlineStr">
        <is>
          <t>Total expenses</t>
        </is>
      </c>
      <c r="X185" s="79" t="n"/>
      <c r="Z185" s="50" t="inlineStr">
        <is>
          <t>Box 3</t>
        </is>
      </c>
      <c r="AA185" s="79" t="inlineStr">
        <is>
          <t>Other net rental income (loss)</t>
        </is>
      </c>
      <c r="AB185" s="79" t="n"/>
    </row>
    <row r="186" ht="15.75" customHeight="1" s="140">
      <c r="B186" s="50" t="inlineStr">
        <is>
          <t>Part IV</t>
        </is>
      </c>
      <c r="C186" s="80" t="inlineStr">
        <is>
          <t>Vehicle Information</t>
        </is>
      </c>
      <c r="D186" s="79" t="n"/>
      <c r="H186" s="50" t="inlineStr">
        <is>
          <t>Part IV</t>
        </is>
      </c>
      <c r="I186" s="80" t="inlineStr">
        <is>
          <t>Vehicle Information</t>
        </is>
      </c>
      <c r="J186" s="79" t="n"/>
      <c r="N186" s="50" t="inlineStr">
        <is>
          <t>Box 4</t>
        </is>
      </c>
      <c r="O186" s="79" t="inlineStr">
        <is>
          <t>Interest income</t>
        </is>
      </c>
      <c r="P186" s="79" t="n"/>
      <c r="R186" s="41" t="n"/>
      <c r="T186" s="50" t="inlineStr">
        <is>
          <t>Line 21</t>
        </is>
      </c>
      <c r="U186" s="79" t="inlineStr">
        <is>
          <t>Income or (loss)</t>
        </is>
      </c>
      <c r="X186" s="79" t="n"/>
      <c r="Z186" s="50" t="inlineStr">
        <is>
          <t>Box 4</t>
        </is>
      </c>
      <c r="AA186" s="79" t="inlineStr">
        <is>
          <t>Interest income</t>
        </is>
      </c>
      <c r="AB186" s="79" t="n"/>
    </row>
    <row r="187" ht="15.75" customHeight="1" s="140">
      <c r="B187" s="50" t="inlineStr">
        <is>
          <t>Part V</t>
        </is>
      </c>
      <c r="C187" s="80" t="inlineStr">
        <is>
          <t>Other Expenses</t>
        </is>
      </c>
      <c r="D187" s="79" t="n"/>
      <c r="H187" s="50" t="inlineStr">
        <is>
          <t>Part V</t>
        </is>
      </c>
      <c r="I187" s="80" t="inlineStr">
        <is>
          <t>Other Expenses</t>
        </is>
      </c>
      <c r="J187" s="79" t="n"/>
      <c r="N187" s="50" t="inlineStr">
        <is>
          <t>Box 5</t>
        </is>
      </c>
      <c r="O187" s="79" t="inlineStr">
        <is>
          <t>Dividends (ordinary &amp; qualified)</t>
        </is>
      </c>
      <c r="P187" s="79" t="n"/>
      <c r="R187" s="41" t="n"/>
      <c r="T187" s="50" t="inlineStr">
        <is>
          <t>Line 22</t>
        </is>
      </c>
      <c r="U187" s="79" t="inlineStr">
        <is>
          <t>Combine for all properties (Total profit/loss from all rentals → carries to Schedule 1, line 5 (and Form 1040))</t>
        </is>
      </c>
      <c r="X187" s="79" t="n"/>
      <c r="Z187" s="50" t="inlineStr">
        <is>
          <t>Box 5</t>
        </is>
      </c>
      <c r="AA187" s="79" t="inlineStr">
        <is>
          <t>Dividends (ordinary &amp; qualified)</t>
        </is>
      </c>
      <c r="AB187" s="79" t="n"/>
    </row>
    <row r="188" ht="15.75" customHeight="1" s="140">
      <c r="B188" s="129" t="inlineStr">
        <is>
          <t>Line 8</t>
        </is>
      </c>
      <c r="C188" s="80" t="inlineStr">
        <is>
          <t>Advertising</t>
        </is>
      </c>
      <c r="D188" s="50" t="n"/>
      <c r="H188" s="129" t="inlineStr">
        <is>
          <t>Line 10</t>
        </is>
      </c>
      <c r="I188" s="80" t="inlineStr">
        <is>
          <t>Car and truck</t>
        </is>
      </c>
      <c r="J188" s="50" t="n"/>
      <c r="N188" s="50" t="inlineStr">
        <is>
          <t>Box 6</t>
        </is>
      </c>
      <c r="O188" s="79" t="inlineStr">
        <is>
          <t>Royalties</t>
        </is>
      </c>
      <c r="P188" s="79" t="n"/>
      <c r="R188" s="41" t="n"/>
      <c r="T188" s="50" t="inlineStr">
        <is>
          <t>Line 5</t>
        </is>
      </c>
      <c r="U188" s="79" t="inlineStr">
        <is>
          <t>Advertising</t>
        </is>
      </c>
      <c r="V188" s="79" t="n"/>
      <c r="X188" s="41" t="n"/>
      <c r="Z188" s="50" t="inlineStr">
        <is>
          <t>Box 6</t>
        </is>
      </c>
      <c r="AA188" s="79" t="inlineStr">
        <is>
          <t>Royalties</t>
        </is>
      </c>
      <c r="AB188" s="79" t="n"/>
    </row>
    <row r="189" ht="15.75" customHeight="1" s="140">
      <c r="B189" s="129" t="inlineStr">
        <is>
          <t>Line 9</t>
        </is>
      </c>
      <c r="C189" s="80" t="inlineStr">
        <is>
          <t>Car/truck expenses</t>
        </is>
      </c>
      <c r="D189" s="79" t="n"/>
      <c r="H189" s="129" t="inlineStr">
        <is>
          <t>Line 12</t>
        </is>
      </c>
      <c r="I189" s="80" t="inlineStr">
        <is>
          <t>Chemicals</t>
        </is>
      </c>
      <c r="J189" s="79" t="n"/>
      <c r="N189" s="50" t="inlineStr">
        <is>
          <t>Box 7</t>
        </is>
      </c>
      <c r="O189" s="79" t="inlineStr">
        <is>
          <t>Net short-term capital gain (loss)</t>
        </is>
      </c>
      <c r="P189" s="79" t="n"/>
      <c r="R189" s="41" t="n"/>
      <c r="T189" s="50" t="inlineStr">
        <is>
          <t>Line 6</t>
        </is>
      </c>
      <c r="U189" s="79" t="inlineStr">
        <is>
          <t>Auto &amp; travel</t>
        </is>
      </c>
      <c r="V189" s="79" t="n"/>
      <c r="X189" s="41" t="n"/>
      <c r="Z189" s="50" t="inlineStr">
        <is>
          <t>Box 7</t>
        </is>
      </c>
      <c r="AA189" s="79" t="inlineStr">
        <is>
          <t>Net short-term capital gain (loss)</t>
        </is>
      </c>
      <c r="AB189" s="79" t="n"/>
    </row>
    <row r="190" ht="15.75" customHeight="1" s="140">
      <c r="B190" s="129" t="inlineStr">
        <is>
          <t>Line 10</t>
        </is>
      </c>
      <c r="C190" s="80" t="inlineStr">
        <is>
          <t>Commissions &amp; fees</t>
        </is>
      </c>
      <c r="D190" s="79" t="n"/>
      <c r="H190" s="129" t="inlineStr">
        <is>
          <t>Line 13</t>
        </is>
      </c>
      <c r="I190" s="80" t="inlineStr">
        <is>
          <t>Conservation expenses</t>
        </is>
      </c>
      <c r="J190" s="79" t="n"/>
      <c r="N190" s="50" t="inlineStr">
        <is>
          <t>Box 8</t>
        </is>
      </c>
      <c r="O190" s="79" t="inlineStr">
        <is>
          <t>Net long-term capital gain (loss)</t>
        </is>
      </c>
      <c r="P190" s="79" t="n"/>
      <c r="R190" s="41" t="n"/>
      <c r="T190" s="50" t="inlineStr">
        <is>
          <t>Line 7</t>
        </is>
      </c>
      <c r="U190" s="79" t="inlineStr">
        <is>
          <t>Cleaning &amp; maintenance</t>
        </is>
      </c>
      <c r="V190" s="79" t="n"/>
      <c r="X190" s="41" t="n"/>
      <c r="Z190" s="50" t="inlineStr">
        <is>
          <t>Box 8</t>
        </is>
      </c>
      <c r="AA190" s="79" t="inlineStr">
        <is>
          <t>Net long-term capital gain (loss)</t>
        </is>
      </c>
      <c r="AB190" s="79" t="n"/>
    </row>
    <row r="191" ht="15.75" customHeight="1" s="140">
      <c r="B191" s="129" t="inlineStr">
        <is>
          <t>Line 11</t>
        </is>
      </c>
      <c r="C191" s="80" t="inlineStr">
        <is>
          <t>Contract labor</t>
        </is>
      </c>
      <c r="D191" s="79" t="n"/>
      <c r="H191" s="129" t="inlineStr">
        <is>
          <t>Line 15</t>
        </is>
      </c>
      <c r="I191" s="80" t="inlineStr">
        <is>
          <t>Feed</t>
        </is>
      </c>
      <c r="J191" s="79" t="n"/>
      <c r="N191" s="50" t="inlineStr">
        <is>
          <t>Box 9</t>
        </is>
      </c>
      <c r="O191" s="79" t="inlineStr">
        <is>
          <t>Collectibles (28%) gain</t>
        </is>
      </c>
      <c r="P191" s="79" t="n"/>
      <c r="R191" s="41" t="n"/>
      <c r="T191" s="50" t="inlineStr">
        <is>
          <t>Line 8</t>
        </is>
      </c>
      <c r="U191" s="79" t="inlineStr">
        <is>
          <t>Commissions</t>
        </is>
      </c>
      <c r="V191" s="79" t="n"/>
      <c r="X191" s="41" t="n"/>
      <c r="Z191" s="50" t="inlineStr">
        <is>
          <t>Box 9</t>
        </is>
      </c>
      <c r="AA191" s="79" t="inlineStr">
        <is>
          <t>Collectibles (28%) gain</t>
        </is>
      </c>
      <c r="AB191" s="79" t="n"/>
    </row>
    <row r="192" ht="15.75" customHeight="1" s="140">
      <c r="B192" s="129" t="inlineStr">
        <is>
          <t>Line 13</t>
        </is>
      </c>
      <c r="C192" s="80" t="inlineStr">
        <is>
          <t>Depreciation</t>
        </is>
      </c>
      <c r="D192" s="79" t="n"/>
      <c r="H192" s="129" t="inlineStr">
        <is>
          <t>Line 16</t>
        </is>
      </c>
      <c r="I192" s="80" t="inlineStr">
        <is>
          <t>Fertilizers &amp; lime</t>
        </is>
      </c>
      <c r="J192" s="79" t="n"/>
      <c r="N192" s="50" t="inlineStr">
        <is>
          <t>Box 10</t>
        </is>
      </c>
      <c r="O192" s="79" t="inlineStr">
        <is>
          <t>Net section 1231 gain (loss)</t>
        </is>
      </c>
      <c r="P192" s="79" t="n"/>
      <c r="R192" s="41" t="n"/>
      <c r="T192" s="50" t="inlineStr">
        <is>
          <t>Line 9</t>
        </is>
      </c>
      <c r="U192" s="79" t="inlineStr">
        <is>
          <t>Insurance</t>
        </is>
      </c>
      <c r="V192" s="79" t="n"/>
      <c r="X192" s="41" t="n"/>
      <c r="Z192" s="50" t="inlineStr">
        <is>
          <t>Box 10</t>
        </is>
      </c>
      <c r="AA192" s="79" t="inlineStr">
        <is>
          <t>Net section 1231 gain (loss)</t>
        </is>
      </c>
      <c r="AB192" s="79" t="n"/>
    </row>
    <row r="193" ht="15.75" customHeight="1" s="140">
      <c r="B193" s="129" t="inlineStr">
        <is>
          <t>Line 15</t>
        </is>
      </c>
      <c r="C193" s="80" t="inlineStr">
        <is>
          <t>Insurance</t>
        </is>
      </c>
      <c r="D193" s="79" t="n"/>
      <c r="H193" s="129" t="inlineStr">
        <is>
          <t>Line 17</t>
        </is>
      </c>
      <c r="I193" s="80" t="inlineStr">
        <is>
          <t>Freight &amp; trucking</t>
        </is>
      </c>
      <c r="J193" s="79" t="n"/>
      <c r="N193" s="50" t="inlineStr">
        <is>
          <t>Box 11</t>
        </is>
      </c>
      <c r="O193" s="79" t="inlineStr">
        <is>
          <t>Other income (e.g., 4797 gains, 453 installment sales, etc.)</t>
        </is>
      </c>
      <c r="P193" s="79" t="n"/>
      <c r="R193" s="41" t="n"/>
      <c r="T193" s="50" t="inlineStr">
        <is>
          <t>Line 10</t>
        </is>
      </c>
      <c r="U193" s="79" t="inlineStr">
        <is>
          <t>Legal/professional fees</t>
        </is>
      </c>
      <c r="V193" s="79" t="n"/>
      <c r="X193" s="41" t="n"/>
      <c r="Z193" s="50" t="inlineStr">
        <is>
          <t>Box 11</t>
        </is>
      </c>
      <c r="AA193" s="79" t="inlineStr">
        <is>
          <t>Other income (e.g., 4797 gains, 453 installment sales, etc.)</t>
        </is>
      </c>
      <c r="AB193" s="79" t="n"/>
    </row>
    <row r="194" ht="15.75" customHeight="1" s="140">
      <c r="B194" s="129" t="inlineStr">
        <is>
          <t>Line 18</t>
        </is>
      </c>
      <c r="C194" s="80" t="inlineStr">
        <is>
          <t>Office expense</t>
        </is>
      </c>
      <c r="D194" s="79" t="n"/>
      <c r="H194" s="129" t="inlineStr">
        <is>
          <t>Line 18</t>
        </is>
      </c>
      <c r="I194" s="80" t="inlineStr">
        <is>
          <t>Gasoline, fuel, oil</t>
        </is>
      </c>
      <c r="J194" s="79" t="n"/>
      <c r="N194" s="50" t="inlineStr">
        <is>
          <t>Box 12</t>
        </is>
      </c>
      <c r="O194" s="79" t="inlineStr">
        <is>
          <t>Section 179 deduction</t>
        </is>
      </c>
      <c r="P194" s="79" t="n"/>
      <c r="R194" s="41" t="n"/>
      <c r="T194" s="50" t="inlineStr">
        <is>
          <t>Line 11</t>
        </is>
      </c>
      <c r="U194" s="79" t="inlineStr">
        <is>
          <t>Management fees</t>
        </is>
      </c>
      <c r="V194" s="79" t="n"/>
      <c r="X194" s="41" t="n"/>
      <c r="Z194" s="50" t="inlineStr">
        <is>
          <t>Box 12</t>
        </is>
      </c>
      <c r="AA194" s="79" t="inlineStr">
        <is>
          <t>Section 179 deduction</t>
        </is>
      </c>
      <c r="AB194" s="79" t="n"/>
    </row>
    <row r="195" ht="15.75" customHeight="1" s="140">
      <c r="B195" s="129" t="inlineStr">
        <is>
          <t>Line 20b</t>
        </is>
      </c>
      <c r="C195" s="80" t="inlineStr">
        <is>
          <t>Rent/lease (other business property)</t>
        </is>
      </c>
      <c r="D195" s="79" t="n"/>
      <c r="H195" s="129" t="inlineStr">
        <is>
          <t>Line 20</t>
        </is>
      </c>
      <c r="I195" s="80" t="inlineStr">
        <is>
          <t>Insurance</t>
        </is>
      </c>
      <c r="J195" s="79" t="n"/>
      <c r="N195" s="50" t="inlineStr">
        <is>
          <t>Box 13</t>
        </is>
      </c>
      <c r="O195" s="79" t="inlineStr">
        <is>
          <t>Other deductions (charitable, investment interest, etc.)</t>
        </is>
      </c>
      <c r="P195" s="79" t="n"/>
      <c r="R195" s="41" t="n"/>
      <c r="T195" s="50" t="inlineStr">
        <is>
          <t>Line 12</t>
        </is>
      </c>
      <c r="U195" s="79" t="inlineStr">
        <is>
          <t>Mortgage interest</t>
        </is>
      </c>
      <c r="V195" s="79" t="n"/>
      <c r="X195" s="41" t="n"/>
      <c r="Z195" s="50" t="inlineStr">
        <is>
          <t>Box 13</t>
        </is>
      </c>
      <c r="AA195" s="79" t="inlineStr">
        <is>
          <t>Other deductions (charitable, investment interest, etc.)</t>
        </is>
      </c>
      <c r="AB195" s="79" t="n"/>
    </row>
    <row r="196" ht="15.75" customHeight="1" s="140">
      <c r="B196" s="129" t="inlineStr">
        <is>
          <t>Line 22</t>
        </is>
      </c>
      <c r="C196" s="80" t="inlineStr">
        <is>
          <t>Supplies</t>
        </is>
      </c>
      <c r="D196" s="79" t="n"/>
      <c r="H196" s="129" t="inlineStr">
        <is>
          <t>Line 21</t>
        </is>
      </c>
      <c r="I196" s="80" t="inlineStr">
        <is>
          <t>Interest</t>
        </is>
      </c>
      <c r="J196" s="79" t="n"/>
      <c r="N196" s="50" t="inlineStr">
        <is>
          <t>Box 14</t>
        </is>
      </c>
      <c r="O196" s="79" t="inlineStr">
        <is>
          <t>Self-employment info (rare for S-corp shareholders; usually 0)</t>
        </is>
      </c>
      <c r="P196" s="79" t="n"/>
      <c r="R196" s="41" t="n"/>
      <c r="T196" s="50" t="inlineStr">
        <is>
          <t>Line 13</t>
        </is>
      </c>
      <c r="U196" s="79" t="inlineStr">
        <is>
          <t>Other interest</t>
        </is>
      </c>
      <c r="V196" s="79" t="n"/>
      <c r="X196" s="41" t="n"/>
      <c r="Z196" s="50" t="inlineStr">
        <is>
          <t>Box 14</t>
        </is>
      </c>
      <c r="AA196" s="79" t="inlineStr">
        <is>
          <t>Self-employment info (rare for S-corp shareholders; usually 0)</t>
        </is>
      </c>
      <c r="AB196" s="79" t="n"/>
    </row>
    <row r="197" ht="15.75" customHeight="1" s="140">
      <c r="B197" s="129" t="inlineStr">
        <is>
          <t>Line 23</t>
        </is>
      </c>
      <c r="C197" s="80" t="inlineStr">
        <is>
          <t>Taxes &amp; licenses</t>
        </is>
      </c>
      <c r="D197" s="79" t="n"/>
      <c r="H197" s="129" t="inlineStr">
        <is>
          <t>Line 22</t>
        </is>
      </c>
      <c r="I197" s="80" t="inlineStr">
        <is>
          <t>Labor hired</t>
        </is>
      </c>
      <c r="J197" s="79" t="n"/>
      <c r="N197" s="50" t="inlineStr">
        <is>
          <t>Box 15</t>
        </is>
      </c>
      <c r="O197" s="79" t="inlineStr">
        <is>
          <t>Credits</t>
        </is>
      </c>
      <c r="P197" s="79" t="n"/>
      <c r="R197" s="41" t="n"/>
      <c r="T197" s="50" t="inlineStr">
        <is>
          <t>Line 14</t>
        </is>
      </c>
      <c r="U197" s="79" t="inlineStr">
        <is>
          <t>Repairs</t>
        </is>
      </c>
      <c r="V197" s="79" t="n"/>
      <c r="X197" s="41" t="n"/>
      <c r="Z197" s="50" t="inlineStr">
        <is>
          <t>Box 15</t>
        </is>
      </c>
      <c r="AA197" s="79" t="inlineStr">
        <is>
          <t>Credits</t>
        </is>
      </c>
      <c r="AB197" s="79" t="n"/>
    </row>
    <row r="198" ht="15.75" customHeight="1" s="140">
      <c r="B198" s="129" t="inlineStr">
        <is>
          <t>Line 24a</t>
        </is>
      </c>
      <c r="C198" s="80" t="inlineStr">
        <is>
          <t>Travel</t>
        </is>
      </c>
      <c r="D198" s="79" t="n"/>
      <c r="H198" s="129" t="inlineStr">
        <is>
          <t>Line 23</t>
        </is>
      </c>
      <c r="I198" s="80" t="inlineStr">
        <is>
          <t>Pension/profit-sharing</t>
        </is>
      </c>
      <c r="J198" s="79" t="n"/>
      <c r="N198" s="50" t="inlineStr">
        <is>
          <t>Box 16</t>
        </is>
      </c>
      <c r="O198" s="79" t="inlineStr">
        <is>
          <t>Foreign transactions</t>
        </is>
      </c>
      <c r="P198" s="79" t="n"/>
      <c r="R198" s="41" t="n"/>
      <c r="T198" s="50" t="inlineStr">
        <is>
          <t>Line 15</t>
        </is>
      </c>
      <c r="U198" s="79" t="inlineStr">
        <is>
          <t>Supplies</t>
        </is>
      </c>
      <c r="V198" s="79" t="n"/>
      <c r="X198" s="41" t="n"/>
      <c r="Z198" s="50" t="inlineStr">
        <is>
          <t>Box 16</t>
        </is>
      </c>
      <c r="AA198" s="79" t="inlineStr">
        <is>
          <t>Foreign transactions</t>
        </is>
      </c>
      <c r="AB198" s="79" t="n"/>
    </row>
    <row r="199" ht="15.75" customHeight="1" s="140">
      <c r="B199" s="129" t="inlineStr">
        <is>
          <t>Line 24b</t>
        </is>
      </c>
      <c r="C199" s="80" t="inlineStr">
        <is>
          <t>Meals</t>
        </is>
      </c>
      <c r="D199" s="79" t="n"/>
      <c r="H199" s="129" t="inlineStr">
        <is>
          <t>Line 24</t>
        </is>
      </c>
      <c r="I199" s="80" t="inlineStr">
        <is>
          <t>Rent/lease – land, animals</t>
        </is>
      </c>
      <c r="J199" s="79" t="n"/>
      <c r="N199" s="50" t="inlineStr">
        <is>
          <t>Box 17</t>
        </is>
      </c>
      <c r="O199" s="79" t="inlineStr">
        <is>
          <t>AMT items</t>
        </is>
      </c>
      <c r="P199" s="79" t="n"/>
      <c r="R199" s="41" t="n"/>
      <c r="T199" s="50" t="inlineStr">
        <is>
          <t>Line 16</t>
        </is>
      </c>
      <c r="U199" s="79" t="inlineStr">
        <is>
          <t>Taxes</t>
        </is>
      </c>
      <c r="V199" s="79" t="n"/>
      <c r="X199" s="41" t="n"/>
      <c r="Z199" s="50" t="inlineStr">
        <is>
          <t>Box 17</t>
        </is>
      </c>
      <c r="AA199" s="79" t="inlineStr">
        <is>
          <t>AMT items</t>
        </is>
      </c>
      <c r="AB199" s="79" t="n"/>
    </row>
    <row r="200" ht="15.75" customHeight="1" s="140">
      <c r="B200" s="129" t="inlineStr">
        <is>
          <t>Line 25</t>
        </is>
      </c>
      <c r="C200" s="80" t="inlineStr">
        <is>
          <t>Utilities</t>
        </is>
      </c>
      <c r="D200" s="79" t="n"/>
      <c r="H200" s="129" t="inlineStr">
        <is>
          <t>Line 25</t>
        </is>
      </c>
      <c r="I200" s="80" t="inlineStr">
        <is>
          <t>Repairs &amp; maintenance</t>
        </is>
      </c>
      <c r="J200" s="79" t="n"/>
      <c r="N200" s="50" t="inlineStr">
        <is>
          <t>Box 18</t>
        </is>
      </c>
      <c r="O200" s="79" t="inlineStr">
        <is>
          <t>Tax-exempt income &amp; nondeductible expenses</t>
        </is>
      </c>
      <c r="P200" s="79" t="n"/>
      <c r="R200" s="41" t="n"/>
      <c r="T200" s="50" t="inlineStr">
        <is>
          <t>Line 17</t>
        </is>
      </c>
      <c r="U200" s="79" t="inlineStr">
        <is>
          <t>Utilities</t>
        </is>
      </c>
      <c r="V200" s="79" t="n"/>
      <c r="X200" s="41" t="n"/>
      <c r="Z200" s="50" t="inlineStr">
        <is>
          <t>Box 18</t>
        </is>
      </c>
      <c r="AA200" s="79" t="inlineStr">
        <is>
          <t>Tax-exempt income &amp; nondeductible expenses</t>
        </is>
      </c>
      <c r="AB200" s="79" t="n"/>
    </row>
    <row r="201" ht="15.75" customHeight="1" s="140">
      <c r="B201" s="129" t="inlineStr">
        <is>
          <t>Line 27a</t>
        </is>
      </c>
      <c r="C201" s="80" t="inlineStr">
        <is>
          <t>Other expenses</t>
        </is>
      </c>
      <c r="D201" s="79" t="n"/>
      <c r="H201" s="129" t="inlineStr">
        <is>
          <t>Line 26</t>
        </is>
      </c>
      <c r="I201" s="80" t="inlineStr">
        <is>
          <t>Seeds &amp; plants</t>
        </is>
      </c>
      <c r="J201" s="79" t="n"/>
      <c r="N201" s="50" t="inlineStr">
        <is>
          <t>Box 19</t>
        </is>
      </c>
      <c r="O201" s="79" t="inlineStr">
        <is>
          <t>Distributions</t>
        </is>
      </c>
      <c r="P201" s="79" t="n"/>
      <c r="R201" s="41" t="n"/>
      <c r="T201" s="50" t="inlineStr">
        <is>
          <t>Line 18</t>
        </is>
      </c>
      <c r="U201" s="79" t="inlineStr">
        <is>
          <t>Depreciation expense</t>
        </is>
      </c>
      <c r="V201" s="79" t="n"/>
      <c r="X201" s="41" t="n"/>
      <c r="Z201" s="50" t="inlineStr">
        <is>
          <t>Box 19</t>
        </is>
      </c>
      <c r="AA201" s="79" t="inlineStr">
        <is>
          <t>Distributions</t>
        </is>
      </c>
      <c r="AB201" s="79" t="n"/>
    </row>
    <row r="202" ht="15.75" customHeight="1" s="140">
      <c r="H202" s="129" t="inlineStr">
        <is>
          <t>Line 27</t>
        </is>
      </c>
      <c r="I202" s="80" t="inlineStr">
        <is>
          <t>Storage &amp; warehousing</t>
        </is>
      </c>
      <c r="J202" s="79" t="n"/>
      <c r="N202" s="50" t="inlineStr">
        <is>
          <t>Box 20</t>
        </is>
      </c>
      <c r="O202" s="79" t="inlineStr">
        <is>
          <t>Other items (QBI, etc.)</t>
        </is>
      </c>
      <c r="P202" s="79" t="n"/>
      <c r="R202" s="41" t="n"/>
      <c r="T202" s="50" t="inlineStr">
        <is>
          <t>Line 19</t>
        </is>
      </c>
      <c r="U202" s="79" t="inlineStr">
        <is>
          <t>Other (specify)</t>
        </is>
      </c>
      <c r="V202" s="79" t="n"/>
      <c r="X202" s="41" t="n"/>
      <c r="Z202" s="50" t="inlineStr">
        <is>
          <t>Box 20</t>
        </is>
      </c>
      <c r="AA202" s="79" t="inlineStr">
        <is>
          <t>Other items (QBI, etc.)</t>
        </is>
      </c>
      <c r="AB202" s="79" t="n"/>
    </row>
    <row r="203" ht="15.75" customHeight="1" s="140">
      <c r="H203" s="129" t="inlineStr">
        <is>
          <t>Line 28</t>
        </is>
      </c>
      <c r="I203" s="80" t="inlineStr">
        <is>
          <t>Supplies</t>
        </is>
      </c>
      <c r="J203" s="79" t="n"/>
    </row>
    <row r="204" ht="15.75" customHeight="1" s="140">
      <c r="H204" s="129" t="inlineStr">
        <is>
          <t>Line 30</t>
        </is>
      </c>
      <c r="I204" s="80" t="inlineStr">
        <is>
          <t>Taxes</t>
        </is>
      </c>
      <c r="J204" s="79" t="n"/>
    </row>
    <row r="205" ht="15.75" customHeight="1" s="140">
      <c r="H205" s="129" t="inlineStr">
        <is>
          <t>Line 31</t>
        </is>
      </c>
      <c r="I205" s="80" t="inlineStr">
        <is>
          <t>Utilities</t>
        </is>
      </c>
      <c r="J205" s="79" t="n"/>
    </row>
    <row r="206" ht="15.75" customHeight="1" s="140">
      <c r="H206" s="129" t="inlineStr">
        <is>
          <t>Line 32</t>
        </is>
      </c>
      <c r="I206" s="80" t="inlineStr">
        <is>
          <t>Veterinary, breeding, medicine</t>
        </is>
      </c>
      <c r="J206" s="79" t="n"/>
    </row>
    <row r="207" ht="15.75" customHeight="1" s="140">
      <c r="H207" s="129" t="inlineStr">
        <is>
          <t>Line 33</t>
        </is>
      </c>
      <c r="I207" s="80" t="inlineStr">
        <is>
          <t>Other expenses</t>
        </is>
      </c>
      <c r="J207" s="79" t="n"/>
    </row>
  </sheetData>
  <dataValidations count="3">
    <dataValidation sqref="L168" showDropDown="0" showInputMessage="1" showErrorMessage="1" allowBlank="1" type="list">
      <formula1>"Ordinary,Short Term Gain,Long Term Gain"</formula1>
    </dataValidation>
    <dataValidation sqref="K47 L169 L172 Q47 W47 AC47" showDropDown="0" showInputMessage="1" showErrorMessage="1" allowBlank="1" type="list">
      <formula1>"Yes,No"</formula1>
    </dataValidation>
    <dataValidation sqref="L46 R46 X46 AD46" showDropDown="0" showInputMessage="1" showErrorMessage="1" allowBlank="1" type="list">
      <formula1>$N$168:$N$173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C29"/>
  <sheetViews>
    <sheetView showGridLines="0" workbookViewId="0">
      <selection activeCell="B2" sqref="B2"/>
    </sheetView>
  </sheetViews>
  <sheetFormatPr baseColWidth="8" defaultColWidth="11.5546875" defaultRowHeight="15"/>
  <cols>
    <col width="23.6640625" customWidth="1" style="140" min="2" max="2"/>
    <col width="166.77734375" customWidth="1" style="140" min="3" max="3"/>
  </cols>
  <sheetData>
    <row r="2" ht="15.75" customHeight="1" s="140">
      <c r="B2" s="32" t="inlineStr">
        <is>
          <t>Name</t>
        </is>
      </c>
      <c r="C2" s="32" t="inlineStr">
        <is>
          <t>Explanation</t>
        </is>
      </c>
    </row>
    <row r="3">
      <c r="B3" t="inlineStr">
        <is>
          <t>Section 179</t>
        </is>
      </c>
    </row>
    <row r="4">
      <c r="B4" t="inlineStr">
        <is>
          <t>Bonus Depreciation</t>
        </is>
      </c>
    </row>
    <row r="5">
      <c r="B5" t="inlineStr">
        <is>
          <t>EITC (Earned Income Tax Credit)</t>
        </is>
      </c>
    </row>
    <row r="6">
      <c r="B6" t="inlineStr">
        <is>
          <t>CTC (Child Tax Credit)</t>
        </is>
      </c>
    </row>
    <row r="7">
      <c r="B7" t="inlineStr">
        <is>
          <t>Credit for Other Dependents</t>
        </is>
      </c>
    </row>
    <row r="8">
      <c r="B8" t="inlineStr">
        <is>
          <t>Child and Dependent Care Credit</t>
        </is>
      </c>
    </row>
    <row r="9">
      <c r="B9" t="inlineStr">
        <is>
          <t>Premium Tax Credit</t>
        </is>
      </c>
    </row>
    <row r="10">
      <c r="B10" t="inlineStr">
        <is>
          <t>Credit for Elderly Or Disabled</t>
        </is>
      </c>
    </row>
    <row r="11">
      <c r="B11" t="inlineStr">
        <is>
          <t>Retirement Saving Contribution Credit</t>
        </is>
      </c>
    </row>
    <row r="12">
      <c r="B12" t="inlineStr">
        <is>
          <t>Foreign Tax Credits</t>
        </is>
      </c>
    </row>
    <row r="13">
      <c r="B13" t="inlineStr">
        <is>
          <t>AOTC (American Opportunity Tax Credit)</t>
        </is>
      </c>
    </row>
    <row r="14">
      <c r="B14" t="inlineStr">
        <is>
          <t>LLC (Lifetime learning Credit)</t>
        </is>
      </c>
    </row>
    <row r="15">
      <c r="B15" t="inlineStr">
        <is>
          <t>Residential Energy Property Credit</t>
        </is>
      </c>
    </row>
    <row r="16">
      <c r="B16" t="inlineStr">
        <is>
          <t>Electric Vehicle Credit</t>
        </is>
      </c>
    </row>
    <row r="17">
      <c r="B17" t="inlineStr">
        <is>
          <t>Non Business Energy Property Credit</t>
        </is>
      </c>
    </row>
    <row r="18">
      <c r="B18" t="inlineStr">
        <is>
          <t>PTC Credit (Premium Tax Credit)</t>
        </is>
      </c>
    </row>
    <row r="19">
      <c r="B19" t="inlineStr">
        <is>
          <t>HCTC (Health Coverage Tax Credit)</t>
        </is>
      </c>
    </row>
    <row r="20">
      <c r="B20" t="inlineStr">
        <is>
          <t>Adoption Credit</t>
        </is>
      </c>
    </row>
    <row r="21">
      <c r="B21" t="inlineStr">
        <is>
          <t>State &amp; Local Income Taxes</t>
        </is>
      </c>
    </row>
    <row r="22">
      <c r="B22" t="inlineStr">
        <is>
          <t>Foreign Taxes</t>
        </is>
      </c>
    </row>
    <row r="23">
      <c r="B23" t="inlineStr">
        <is>
          <t>Investment Interest Expense</t>
        </is>
      </c>
    </row>
    <row r="24">
      <c r="B24" t="inlineStr">
        <is>
          <t>Charitable Contribution</t>
        </is>
      </c>
    </row>
    <row r="25">
      <c r="B25" t="inlineStr">
        <is>
          <t>Personal Casualty &amp; Theft Losses</t>
        </is>
      </c>
    </row>
    <row r="26">
      <c r="B26" t="inlineStr">
        <is>
          <t>Medical Expense Deduction</t>
        </is>
      </c>
    </row>
    <row r="27">
      <c r="B27" t="inlineStr">
        <is>
          <t>AMT (Alternative Minimum Tax)</t>
        </is>
      </c>
    </row>
    <row r="28">
      <c r="B28" t="inlineStr">
        <is>
          <t>Kiddie Tax</t>
        </is>
      </c>
    </row>
    <row r="29">
      <c r="B29" t="inlineStr">
        <is>
          <t xml:space="preserve">Nanny Tax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3:R26"/>
  <sheetViews>
    <sheetView showGridLines="0" workbookViewId="0">
      <selection activeCell="N3" sqref="N3"/>
    </sheetView>
  </sheetViews>
  <sheetFormatPr baseColWidth="8" defaultColWidth="11.5546875" defaultRowHeight="15"/>
  <cols>
    <col width="31" customWidth="1" style="140" min="2" max="2"/>
  </cols>
  <sheetData>
    <row r="3" ht="15.75" customHeight="1" s="140">
      <c r="B3" s="32" t="inlineStr">
        <is>
          <t>Tax Credits</t>
        </is>
      </c>
      <c r="C3" s="32" t="n"/>
      <c r="D3" s="32" t="n"/>
      <c r="E3" s="32" t="n"/>
      <c r="F3" s="32" t="n"/>
      <c r="H3" s="32" t="inlineStr">
        <is>
          <t>Deductions</t>
        </is>
      </c>
      <c r="I3" s="32" t="n"/>
      <c r="J3" s="32" t="n"/>
      <c r="K3" s="32" t="n"/>
      <c r="L3" s="32" t="n"/>
      <c r="N3" s="32" t="inlineStr">
        <is>
          <t>Additional Taxes</t>
        </is>
      </c>
      <c r="O3" s="32" t="n"/>
      <c r="P3" s="32" t="n"/>
      <c r="Q3" s="32" t="n"/>
      <c r="R3" s="32" t="n"/>
    </row>
    <row r="4">
      <c r="B4" t="inlineStr">
        <is>
          <t>EITC (Earned Income Tax Credit)</t>
        </is>
      </c>
      <c r="H4" t="inlineStr">
        <is>
          <t>Standard deduction.</t>
        </is>
      </c>
      <c r="N4" t="inlineStr">
        <is>
          <t>AMT (Alternative Minimum Tax)</t>
        </is>
      </c>
    </row>
    <row r="5">
      <c r="B5" t="inlineStr">
        <is>
          <t>CTC (Child Tax Credit)</t>
        </is>
      </c>
      <c r="H5" t="inlineStr">
        <is>
          <t>Student loan interest.</t>
        </is>
      </c>
      <c r="N5" t="inlineStr">
        <is>
          <t>Kiddie Tax</t>
        </is>
      </c>
    </row>
    <row r="6">
      <c r="B6" t="inlineStr">
        <is>
          <t>Credit for Other Dependents</t>
        </is>
      </c>
      <c r="H6" t="inlineStr">
        <is>
          <t>Educator expenses.</t>
        </is>
      </c>
      <c r="N6" t="inlineStr">
        <is>
          <t xml:space="preserve">Nanny Tax </t>
        </is>
      </c>
    </row>
    <row r="7">
      <c r="B7" t="inlineStr">
        <is>
          <t>Child and Dependent Care Credit</t>
        </is>
      </c>
      <c r="H7" t="inlineStr">
        <is>
          <t>Health Savings Account contributions.</t>
        </is>
      </c>
    </row>
    <row r="8" ht="15.75" customHeight="1" s="140">
      <c r="B8" t="inlineStr">
        <is>
          <t>Premium Tax Credit</t>
        </is>
      </c>
      <c r="H8" t="inlineStr">
        <is>
          <t>HSA Deduction</t>
        </is>
      </c>
      <c r="N8" s="32" t="inlineStr">
        <is>
          <t>Income Sources</t>
        </is>
      </c>
      <c r="O8" s="32" t="n"/>
      <c r="P8" s="32" t="n"/>
      <c r="Q8" s="32" t="n"/>
      <c r="R8" s="32" t="n"/>
    </row>
    <row r="9">
      <c r="B9" t="inlineStr">
        <is>
          <t>Credit for Elderly Or Disabled</t>
        </is>
      </c>
      <c r="H9" t="inlineStr">
        <is>
          <t>Deductible Part of Self-Employment taxes</t>
        </is>
      </c>
      <c r="N9" t="inlineStr">
        <is>
          <t>W-2 Wages</t>
        </is>
      </c>
    </row>
    <row r="10">
      <c r="B10" t="inlineStr">
        <is>
          <t>Retirement Saving Contribution Credit</t>
        </is>
      </c>
      <c r="H10" t="inlineStr">
        <is>
          <t>SELF-EMPLOYED HEALTH INSURANCE DEDUCTION</t>
        </is>
      </c>
      <c r="N10" t="inlineStr">
        <is>
          <t>1099-R</t>
        </is>
      </c>
    </row>
    <row r="11">
      <c r="B11" t="inlineStr">
        <is>
          <t>Foreign Tax Credits</t>
        </is>
      </c>
      <c r="H11" t="inlineStr">
        <is>
          <t>PENALTY FOR EARLY WITHDRAWAL OF SAVINGS</t>
        </is>
      </c>
      <c r="N11" t="inlineStr">
        <is>
          <t>1099-NEC</t>
        </is>
      </c>
    </row>
    <row r="12">
      <c r="B12" t="inlineStr">
        <is>
          <t>AOTC (American Opportunity Tax Credit)</t>
        </is>
      </c>
      <c r="H12" t="inlineStr">
        <is>
          <t>ALIMONY PAID</t>
        </is>
      </c>
      <c r="N12" t="inlineStr">
        <is>
          <t>1099-DIV</t>
        </is>
      </c>
    </row>
    <row r="13">
      <c r="B13" t="inlineStr">
        <is>
          <t>LLC (Lifetime learning Credit)</t>
        </is>
      </c>
      <c r="H13" t="inlineStr">
        <is>
          <t>TRADITIONAL IRA DEDUCTION</t>
        </is>
      </c>
      <c r="N13" t="inlineStr">
        <is>
          <t>1099-MISC (Shedule E)</t>
        </is>
      </c>
    </row>
    <row r="14">
      <c r="B14" t="inlineStr">
        <is>
          <t>Residential Energy Property Credit</t>
        </is>
      </c>
      <c r="H14" t="inlineStr">
        <is>
          <t>Home office Deduction</t>
        </is>
      </c>
      <c r="N14" t="inlineStr">
        <is>
          <t>1099-B</t>
        </is>
      </c>
    </row>
    <row r="15">
      <c r="B15" t="inlineStr">
        <is>
          <t>Electric Vehicle Credit</t>
        </is>
      </c>
      <c r="H15" t="inlineStr">
        <is>
          <t>Qualified Business Income Deduction</t>
        </is>
      </c>
      <c r="N15" t="inlineStr">
        <is>
          <t>Schedule E (Schedule K-1 S Corp)</t>
        </is>
      </c>
    </row>
    <row r="16">
      <c r="B16" t="inlineStr">
        <is>
          <t>Non Business Energy Property Credit</t>
        </is>
      </c>
      <c r="H16" t="inlineStr">
        <is>
          <t>Depreciation</t>
        </is>
      </c>
      <c r="N16" t="inlineStr">
        <is>
          <t>Schedule E (K-1 Partnership)</t>
        </is>
      </c>
    </row>
    <row r="17">
      <c r="B17" t="inlineStr">
        <is>
          <t>PTC Credit (Premium Tax Credit)</t>
        </is>
      </c>
      <c r="N17" t="inlineStr">
        <is>
          <t>Schedule E (Rental Income)</t>
        </is>
      </c>
    </row>
    <row r="18" ht="15.75" customHeight="1" s="140">
      <c r="B18" t="inlineStr">
        <is>
          <t>HCTC (Health Coverage Tax Credit)</t>
        </is>
      </c>
      <c r="H18" s="32" t="inlineStr">
        <is>
          <t>Itemized Deductions (Schedule A)</t>
        </is>
      </c>
      <c r="I18" s="32" t="n"/>
      <c r="J18" s="32" t="n"/>
      <c r="K18" s="32" t="n"/>
      <c r="L18" s="32" t="n"/>
      <c r="N18" t="inlineStr">
        <is>
          <t>Schedule C (Sole Properietorship)</t>
        </is>
      </c>
    </row>
    <row r="19">
      <c r="B19" t="inlineStr">
        <is>
          <t>Adoption Credit</t>
        </is>
      </c>
      <c r="H19" t="inlineStr">
        <is>
          <t>State &amp; Local Income Taxes</t>
        </is>
      </c>
      <c r="N19" t="inlineStr">
        <is>
          <t>Schedule F (Farming Income)</t>
        </is>
      </c>
    </row>
    <row r="20">
      <c r="H20" t="inlineStr">
        <is>
          <t>Foreign Taxes</t>
        </is>
      </c>
      <c r="N20" t="inlineStr">
        <is>
          <t>Schedule D (Capital Gain &amp; losses)</t>
        </is>
      </c>
    </row>
    <row r="21">
      <c r="H21" t="inlineStr">
        <is>
          <t>Investment Interest Expense</t>
        </is>
      </c>
      <c r="N21" t="inlineStr">
        <is>
          <t xml:space="preserve">Schedule SE (Self-Employment Income) </t>
        </is>
      </c>
    </row>
    <row r="22">
      <c r="H22" t="inlineStr">
        <is>
          <t>Charitable Contribution</t>
        </is>
      </c>
      <c r="N22" t="inlineStr">
        <is>
          <t>Schedule 1( Cancelled Debt)</t>
        </is>
      </c>
    </row>
    <row r="23">
      <c r="H23" t="inlineStr">
        <is>
          <t>Personal Casualty &amp; Theft Losses</t>
        </is>
      </c>
      <c r="N23" t="inlineStr">
        <is>
          <t>Schedule 1( Hobby Income)</t>
        </is>
      </c>
    </row>
    <row r="24">
      <c r="H24" t="inlineStr">
        <is>
          <t>Medical Expense Deduction</t>
        </is>
      </c>
      <c r="N24" t="inlineStr">
        <is>
          <t>Schedule 1( Punitive Damages)</t>
        </is>
      </c>
    </row>
    <row r="25">
      <c r="N25" t="inlineStr">
        <is>
          <t>Schedule 1( Court Awards &amp; prizes)</t>
        </is>
      </c>
    </row>
    <row r="26">
      <c r="N26" t="inlineStr">
        <is>
          <t>Schedule 1(Personal property Rentals)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AK52"/>
  <sheetViews>
    <sheetView showGridLines="0" workbookViewId="0">
      <selection activeCell="B20" sqref="B20"/>
    </sheetView>
  </sheetViews>
  <sheetFormatPr baseColWidth="8" defaultColWidth="11.5546875" defaultRowHeight="15"/>
  <cols>
    <col width="21.109375" customWidth="1" style="140" min="2" max="2"/>
    <col width="11.44140625" bestFit="1" customWidth="1" style="140" min="3" max="4"/>
    <col width="19" customWidth="1" style="140" min="6" max="6"/>
    <col width="19.77734375" customWidth="1" style="140" min="14" max="14"/>
    <col width="15.109375" customWidth="1" style="140" min="15" max="15"/>
    <col width="15.6640625" customWidth="1" style="140" min="16" max="16"/>
    <col width="22.6640625" customWidth="1" style="140" min="20" max="20"/>
    <col width="23.109375" customWidth="1" style="140" min="21" max="21"/>
    <col width="28.44140625" customWidth="1" style="140" min="23" max="23"/>
    <col width="11.44140625" bestFit="1" customWidth="1" style="140" min="24" max="24"/>
    <col width="21.109375" bestFit="1" customWidth="1" style="140" min="31" max="31"/>
    <col width="15.77734375" bestFit="1" customWidth="1" style="140" min="32" max="32"/>
    <col width="21" bestFit="1" customWidth="1" style="140" min="33" max="33"/>
  </cols>
  <sheetData>
    <row r="2" ht="15.75" customHeight="1" s="140">
      <c r="B2" s="32" t="inlineStr">
        <is>
          <t>Deductions</t>
        </is>
      </c>
      <c r="C2" s="32" t="n"/>
      <c r="D2" s="32" t="n"/>
      <c r="E2" s="32" t="n"/>
      <c r="F2" s="32" t="n"/>
      <c r="H2" s="32" t="inlineStr">
        <is>
          <t>SELF-EMPLOYED HEALTH INSURANCE DEDUCTION</t>
        </is>
      </c>
      <c r="I2" s="32" t="n"/>
      <c r="J2" s="32" t="n"/>
      <c r="K2" s="32" t="n"/>
      <c r="L2" s="32" t="n"/>
      <c r="N2" s="32" t="inlineStr">
        <is>
          <t>ALIMONY PAID</t>
        </is>
      </c>
      <c r="O2" s="32" t="n"/>
      <c r="P2" s="32" t="n"/>
      <c r="Q2" s="32" t="n"/>
      <c r="R2" s="32" t="n"/>
      <c r="T2" s="32" t="inlineStr">
        <is>
          <t>Qualified Business Income Deduction</t>
        </is>
      </c>
      <c r="U2" s="32" t="n"/>
      <c r="V2" s="32" t="n"/>
      <c r="W2" s="32" t="n"/>
      <c r="X2" s="32" t="n"/>
    </row>
    <row r="3">
      <c r="B3" t="inlineStr">
        <is>
          <t>Standard deduction.</t>
        </is>
      </c>
      <c r="H3" t="inlineStr">
        <is>
          <t xml:space="preserve">Premiums paid </t>
        </is>
      </c>
      <c r="L3" s="41" t="n">
        <v>0</v>
      </c>
      <c r="W3" t="inlineStr">
        <is>
          <t>Filing Status</t>
        </is>
      </c>
      <c r="X3" s="70" t="inlineStr">
        <is>
          <t>Single</t>
        </is>
      </c>
      <c r="AB3" s="41" t="n"/>
      <c r="AE3" s="37" t="inlineStr">
        <is>
          <t xml:space="preserve">Asset Depreciation / Useful Life </t>
        </is>
      </c>
      <c r="AF3" s="37" t="n"/>
      <c r="AG3" s="37" t="n"/>
      <c r="AH3" s="37" t="n"/>
      <c r="AI3" s="37" t="n"/>
      <c r="AJ3" s="37" t="n"/>
      <c r="AK3" s="37" t="n"/>
    </row>
    <row r="4" ht="15.75" customHeight="1" s="140">
      <c r="B4" t="inlineStr">
        <is>
          <t>Student loan interest.</t>
        </is>
      </c>
      <c r="F4" s="41">
        <f>C21</f>
        <v/>
      </c>
      <c r="H4" t="inlineStr">
        <is>
          <t>Self employment Income</t>
        </is>
      </c>
      <c r="L4" s="41" t="n">
        <v>13000</v>
      </c>
      <c r="N4" t="inlineStr">
        <is>
          <t>Divorce Date</t>
        </is>
      </c>
      <c r="O4" s="92" t="n">
        <v>43240</v>
      </c>
      <c r="Q4" t="inlineStr">
        <is>
          <t>Before</t>
        </is>
      </c>
      <c r="R4" s="144" t="n">
        <v>43466</v>
      </c>
      <c r="T4" t="inlineStr">
        <is>
          <t>Schedule C Net profit</t>
        </is>
      </c>
      <c r="U4" s="41">
        <f>IF(SUM(Income!L124:L143)&lt;0,0,SUM(Income!L124:L143))</f>
        <v/>
      </c>
      <c r="W4" t="inlineStr">
        <is>
          <t>Is business SSTB?</t>
        </is>
      </c>
      <c r="X4" s="70" t="inlineStr">
        <is>
          <t>No</t>
        </is>
      </c>
      <c r="AD4" s="24" t="n"/>
      <c r="AE4" s="50" t="inlineStr">
        <is>
          <t>Asset Type / Description</t>
        </is>
      </c>
      <c r="AF4" s="50" t="inlineStr">
        <is>
          <t>Class Life (Years)</t>
        </is>
      </c>
      <c r="AG4" s="50" t="inlineStr">
        <is>
          <t>MACRS Recovery Period</t>
        </is>
      </c>
      <c r="AH4" s="50" t="inlineStr">
        <is>
          <t>Examples</t>
        </is>
      </c>
      <c r="AI4" s="50" t="inlineStr">
        <is>
          <t>Section 179</t>
        </is>
      </c>
      <c r="AJ4" s="50" t="inlineStr">
        <is>
          <t>Bonus Depreciation</t>
        </is>
      </c>
    </row>
    <row r="5" ht="15.75" customHeight="1" s="140">
      <c r="B5" t="inlineStr">
        <is>
          <t>Educator expenses.</t>
        </is>
      </c>
      <c r="F5" s="41">
        <f>C34</f>
        <v/>
      </c>
      <c r="N5" t="inlineStr">
        <is>
          <t>Amount paid in Alimony</t>
        </is>
      </c>
      <c r="O5" s="41" t="n">
        <v>0</v>
      </c>
      <c r="T5" t="inlineStr">
        <is>
          <t>QBI Deduction %</t>
        </is>
      </c>
      <c r="U5" s="12" t="n">
        <v>0.2</v>
      </c>
      <c r="W5" t="inlineStr">
        <is>
          <t>Above Phase out range limit</t>
        </is>
      </c>
      <c r="X5" s="41">
        <f>MAX(X6*50%,(X6*25%)+X7*2.5%)</f>
        <v/>
      </c>
      <c r="Y5" t="inlineStr">
        <is>
          <t>Allowed QBI Deduction</t>
        </is>
      </c>
      <c r="AB5" s="14" t="n"/>
      <c r="AC5" s="14" t="n"/>
      <c r="AE5" s="50" t="inlineStr">
        <is>
          <t>3-year property</t>
        </is>
      </c>
      <c r="AF5" s="79" t="n">
        <v>3</v>
      </c>
      <c r="AG5" s="79" t="inlineStr">
        <is>
          <t>3 years</t>
        </is>
      </c>
      <c r="AH5" s="79" t="inlineStr">
        <is>
          <t>Special tools, tractor units for over-the-road use, certain racehorses</t>
        </is>
      </c>
      <c r="AI5" s="79" t="inlineStr">
        <is>
          <t>YES</t>
        </is>
      </c>
      <c r="AJ5" s="79" t="inlineStr">
        <is>
          <t>YES</t>
        </is>
      </c>
    </row>
    <row r="6" ht="15.75" customHeight="1" s="140">
      <c r="B6" t="inlineStr">
        <is>
          <t>HSA Deduction</t>
        </is>
      </c>
      <c r="F6" s="41">
        <f>U24</f>
        <v/>
      </c>
      <c r="T6" t="inlineStr">
        <is>
          <t>QBI</t>
        </is>
      </c>
      <c r="U6" s="41">
        <f>U4</f>
        <v/>
      </c>
      <c r="W6" t="inlineStr">
        <is>
          <t>W-2 Wages</t>
        </is>
      </c>
      <c r="X6" s="41" t="n">
        <v>30000</v>
      </c>
      <c r="AE6" s="50" t="inlineStr">
        <is>
          <t>5-year property</t>
        </is>
      </c>
      <c r="AF6" s="79" t="n">
        <v>5</v>
      </c>
      <c r="AG6" s="79" t="inlineStr">
        <is>
          <t>5 years</t>
        </is>
      </c>
      <c r="AH6" s="79" t="inlineStr">
        <is>
          <t>Computers, office equipment, autos, light trucks, research equipment</t>
        </is>
      </c>
      <c r="AI6" s="79" t="inlineStr">
        <is>
          <t>YES</t>
        </is>
      </c>
      <c r="AJ6" s="79" t="inlineStr">
        <is>
          <t>YES</t>
        </is>
      </c>
    </row>
    <row r="7" ht="15.75" customHeight="1" s="140">
      <c r="B7" t="inlineStr">
        <is>
          <t>SELF-EMPLOYED HEALTH INSURANCE DEDUCTION</t>
        </is>
      </c>
      <c r="F7" s="41">
        <f>L8</f>
        <v/>
      </c>
      <c r="T7" t="inlineStr">
        <is>
          <t>Taxable Income</t>
        </is>
      </c>
      <c r="U7" s="91" t="n">
        <v>200000</v>
      </c>
      <c r="W7" t="inlineStr">
        <is>
          <t>Qualified Property (UBIA)</t>
        </is>
      </c>
      <c r="X7" s="41" t="n">
        <v>100000</v>
      </c>
      <c r="AB7" s="14" t="n"/>
      <c r="AE7" s="50" t="inlineStr">
        <is>
          <t>7-year property</t>
        </is>
      </c>
      <c r="AF7" s="79" t="n">
        <v>7</v>
      </c>
      <c r="AG7" s="79" t="inlineStr">
        <is>
          <t>7 years</t>
        </is>
      </c>
      <c r="AH7" s="79" t="inlineStr">
        <is>
          <t>Furniture, fixtures, business equipment not in other classes</t>
        </is>
      </c>
      <c r="AI7" s="79" t="inlineStr">
        <is>
          <t>YES</t>
        </is>
      </c>
      <c r="AJ7" s="79" t="inlineStr">
        <is>
          <t>YES</t>
        </is>
      </c>
    </row>
    <row r="8" ht="16.5" customHeight="1" s="140" thickBot="1">
      <c r="B8" t="inlineStr">
        <is>
          <t>PENALTY FOR EARLY WITHDRAWAL OF SAVINGS</t>
        </is>
      </c>
      <c r="F8" s="41">
        <f>L15</f>
        <v/>
      </c>
      <c r="H8" s="77" t="inlineStr">
        <is>
          <t>Deduction Qualify</t>
        </is>
      </c>
      <c r="I8" s="77" t="n"/>
      <c r="J8" s="77" t="n"/>
      <c r="K8" s="77" t="n"/>
      <c r="L8" s="77">
        <f>MIN(L3:L4)</f>
        <v/>
      </c>
      <c r="N8" s="77" t="inlineStr">
        <is>
          <t>Deduction Qualify</t>
        </is>
      </c>
      <c r="O8" s="78">
        <f>IF(O4&lt;R4,O5,0)</f>
        <v/>
      </c>
      <c r="P8" s="78" t="n"/>
      <c r="Q8" s="78" t="n"/>
      <c r="R8" s="78" t="n"/>
      <c r="T8" t="inlineStr">
        <is>
          <t xml:space="preserve">Deduction phaseout </t>
        </is>
      </c>
      <c r="U8" s="62">
        <f>IF(UPPER(X4)="YES",
   IF(AND(X3=T14,U7&gt;U14,U7&lt;V14),(-U14+U7)/(V14-U14),
      IF(AND(X3=T14,U7&lt;U14),1,0))
   +
   IF(AND(X3=T15,U7&gt;U15,U7&lt;V15),(-U15+U7)/(V15-U15),
      IF(AND(X3=T15,U7&lt;U15),1,0))
   +
   IF(AND(X3=T16,U7&gt;U16,U7&lt;V16),(-U16+U7)/(V16-U16),
      IF(AND(X3=T16,U7&lt;U16),1,0))
   +
   IF(AND(X3=T17,U7&gt;U17,U7&lt;V17),(-U17+U7)/(V17-U17),
      IF(AND(X3=T17,U7&lt;U17),1,0)),
0)</f>
        <v/>
      </c>
      <c r="V8" s="62" t="n"/>
      <c r="W8" t="inlineStr">
        <is>
          <t xml:space="preserve">Deduction phaseout </t>
        </is>
      </c>
      <c r="X8" s="62">
        <f>IF(UPPER(X4)="NO",
   IF(AND(X3=T14,U7&gt;U14,U7&lt;V14),(-U14+U7)/(V14-U14),
      IF(AND(X3=T14,U7&lt;U14),1,0))
   +
   IF(AND(X3=T15,U7&gt;U15,U7&lt;V15),(-U15+U7)/(V15-U15),
      IF(AND(X3=T15,U7&lt;U15),1,0))
   +
   IF(AND(X3=T16,U7&gt;U16,U7&lt;V16),(-U16+U7)/(V16-U16),
      IF(AND(X3=T16,U7&lt;U16),1,0))
   +
   IF(AND(X3=T17,U7&gt;U17,U7&lt;V17),(-U17+U7)/(V17-U17),
      IF(AND(X3=T17,U7&lt;U17),1,0)),
0)</f>
        <v/>
      </c>
      <c r="AE8" s="50" t="inlineStr">
        <is>
          <t>10-year property</t>
        </is>
      </c>
      <c r="AF8" s="79" t="n">
        <v>10</v>
      </c>
      <c r="AG8" s="79" t="inlineStr">
        <is>
          <t>10 years</t>
        </is>
      </c>
      <c r="AH8" s="79" t="inlineStr">
        <is>
          <t>Vessels, water transportation equipment, some fruit/nut trees</t>
        </is>
      </c>
      <c r="AI8" s="79" t="inlineStr">
        <is>
          <t>YES</t>
        </is>
      </c>
      <c r="AJ8" s="79" t="inlineStr">
        <is>
          <t>YES</t>
        </is>
      </c>
    </row>
    <row r="9" ht="16.5" customHeight="1" s="140" thickBot="1">
      <c r="B9" t="inlineStr">
        <is>
          <t>ALIMONY PAID</t>
        </is>
      </c>
      <c r="F9" s="41">
        <f>O8</f>
        <v/>
      </c>
      <c r="T9" s="77" t="inlineStr">
        <is>
          <t>Deduction Qualify for SSTB</t>
        </is>
      </c>
      <c r="U9" s="78">
        <f>IF(AND(U8&gt;0%,U8&lt;100%),(1-U8)*U6*U5,IF(U8&lt;0%,0*U5*U6,IF(U8=100%,1*U5*U6,0)))</f>
        <v/>
      </c>
      <c r="V9" s="78" t="n"/>
      <c r="W9" s="77" t="inlineStr">
        <is>
          <t>Deduction Qualify for Non SSTB</t>
        </is>
      </c>
      <c r="X9" s="78">
        <f>IF(AND(U7&gt;V14,X4="No",X3=T14),MIN(X5,U5*U6),0)+
IF(AND(U7&gt;V15,X4="No",X3=T15),MIN(X5,U5*U6),0)+
IF(AND(U7&gt;V16,X4="No",X3=T16),MIN(X5,U5*U6),0)+
IF(AND(U7&gt;V17,X4="No",X3=T17),MIN(X5,U5*U6),0)+IF(AND(X8&gt;0%,X8&lt;100%),(1-X8)*U6*U5,IF(X8&lt;0%,0*U5*U6,IF(X8=100%,1*U5*U6,0)))</f>
        <v/>
      </c>
      <c r="AE9" s="50" t="inlineStr">
        <is>
          <t>15-year property</t>
        </is>
      </c>
      <c r="AF9" s="79" t="n">
        <v>15</v>
      </c>
      <c r="AG9" s="79" t="inlineStr">
        <is>
          <t>15 years</t>
        </is>
      </c>
      <c r="AH9" s="79" t="inlineStr">
        <is>
          <t>Land improvements: roads, fences, landscaping, parking lots</t>
        </is>
      </c>
      <c r="AI9" s="79" t="inlineStr">
        <is>
          <t>YES</t>
        </is>
      </c>
      <c r="AJ9" s="79" t="inlineStr">
        <is>
          <t>YES</t>
        </is>
      </c>
    </row>
    <row r="10" ht="15.75" customHeight="1" s="140">
      <c r="B10" t="inlineStr">
        <is>
          <t>TRADITIONAL IRA DEDUCTION</t>
        </is>
      </c>
      <c r="F10" s="41">
        <f>O19</f>
        <v/>
      </c>
      <c r="H10" s="129" t="n"/>
      <c r="I10" s="129" t="n"/>
      <c r="J10" s="129" t="n"/>
      <c r="K10" s="129" t="n"/>
      <c r="L10" s="129" t="n"/>
      <c r="AE10" s="50" t="inlineStr">
        <is>
          <t>20-year property</t>
        </is>
      </c>
      <c r="AF10" s="79" t="n">
        <v>20</v>
      </c>
      <c r="AG10" s="79" t="inlineStr">
        <is>
          <t>20 years</t>
        </is>
      </c>
      <c r="AH10" s="79" t="inlineStr">
        <is>
          <t>Farm buildings (not residential), municipal sewers</t>
        </is>
      </c>
      <c r="AI10" s="79" t="inlineStr">
        <is>
          <t>YES</t>
        </is>
      </c>
      <c r="AJ10" s="79" t="inlineStr">
        <is>
          <t>YES</t>
        </is>
      </c>
    </row>
    <row r="11" ht="15.75" customHeight="1" s="140">
      <c r="B11" t="inlineStr">
        <is>
          <t>Home office Deduction</t>
        </is>
      </c>
      <c r="F11" s="41">
        <f>O47</f>
        <v/>
      </c>
      <c r="H11" s="32" t="inlineStr">
        <is>
          <t>PENALTY FOR EARLY WITHDRAWAL OF SAVINGS</t>
        </is>
      </c>
      <c r="I11" s="32" t="n"/>
      <c r="J11" s="32" t="n"/>
      <c r="K11" s="32" t="n"/>
      <c r="L11" s="32" t="n"/>
      <c r="N11" s="32" t="inlineStr">
        <is>
          <t>TRADITIONAL IRA DEDUCTION</t>
        </is>
      </c>
      <c r="O11" s="32" t="n"/>
      <c r="P11" s="32" t="n"/>
      <c r="Q11" s="32" t="n"/>
      <c r="R11" s="32" t="n"/>
      <c r="AE11" s="50" t="inlineStr">
        <is>
          <t>25-year property</t>
        </is>
      </c>
      <c r="AF11" s="79" t="n">
        <v>25</v>
      </c>
      <c r="AG11" s="79" t="inlineStr">
        <is>
          <t>25 years</t>
        </is>
      </c>
      <c r="AH11" s="79" t="inlineStr">
        <is>
          <t>Certain utility property, water treatment plants</t>
        </is>
      </c>
      <c r="AI11" s="79" t="inlineStr">
        <is>
          <t>NO</t>
        </is>
      </c>
      <c r="AJ11" s="79" t="inlineStr">
        <is>
          <t>NO</t>
        </is>
      </c>
    </row>
    <row r="12" ht="15.75" customHeight="1" s="140">
      <c r="B12" t="inlineStr">
        <is>
          <t>Qualified Business Income Deduction</t>
        </is>
      </c>
      <c r="F12" s="41">
        <f>U9+X9</f>
        <v/>
      </c>
      <c r="H12" t="inlineStr">
        <is>
          <t>Interest income</t>
        </is>
      </c>
      <c r="L12" t="n">
        <v>500</v>
      </c>
      <c r="N12" t="inlineStr">
        <is>
          <t>Max Contribution</t>
        </is>
      </c>
      <c r="O12" s="41">
        <f>IF(R12&lt;50,7000,8000)</f>
        <v/>
      </c>
      <c r="Q12" t="inlineStr">
        <is>
          <t>Age</t>
        </is>
      </c>
      <c r="R12" s="24" t="n">
        <v>49</v>
      </c>
      <c r="T12" s="90" t="inlineStr">
        <is>
          <t>Taxable Income Limits (Schedule C)</t>
        </is>
      </c>
      <c r="U12" s="89" t="n"/>
      <c r="V12" s="89" t="n"/>
      <c r="W12" s="89" t="n"/>
      <c r="X12" s="89" t="n"/>
      <c r="AE12" s="50" t="inlineStr">
        <is>
          <t>27.5-year property</t>
        </is>
      </c>
      <c r="AF12" s="79" t="n">
        <v>27.5</v>
      </c>
      <c r="AG12" s="79" t="inlineStr">
        <is>
          <t>27.5 years</t>
        </is>
      </c>
      <c r="AH12" s="79" t="inlineStr">
        <is>
          <t>Residential rental property (e.g., apartments, houses rented out)</t>
        </is>
      </c>
      <c r="AI12" s="79" t="inlineStr">
        <is>
          <t>NO</t>
        </is>
      </c>
      <c r="AJ12" s="79" t="inlineStr">
        <is>
          <t>NO</t>
        </is>
      </c>
    </row>
    <row r="13" ht="15.75" customHeight="1" s="140">
      <c r="B13" t="inlineStr">
        <is>
          <t>Depreciation (Bonus &amp; Section 179)</t>
        </is>
      </c>
      <c r="F13" s="41">
        <f>X40</f>
        <v/>
      </c>
      <c r="H13" t="inlineStr">
        <is>
          <t>Early Withdrawal Penalty</t>
        </is>
      </c>
      <c r="L13" t="n">
        <v>0</v>
      </c>
      <c r="N13" t="inlineStr">
        <is>
          <t>MFJ??</t>
        </is>
      </c>
      <c r="O13" s="70" t="inlineStr">
        <is>
          <t>Yes</t>
        </is>
      </c>
      <c r="Q13" t="inlineStr">
        <is>
          <t>Filing Status</t>
        </is>
      </c>
      <c r="R13" s="70" t="inlineStr">
        <is>
          <t>Single</t>
        </is>
      </c>
      <c r="U13" s="18" t="inlineStr">
        <is>
          <t>Minimum</t>
        </is>
      </c>
      <c r="V13" s="18" t="inlineStr">
        <is>
          <t>Maximum</t>
        </is>
      </c>
      <c r="AE13" s="50" t="inlineStr">
        <is>
          <t>39-year property</t>
        </is>
      </c>
      <c r="AF13" s="79" t="n">
        <v>39</v>
      </c>
      <c r="AG13" s="79" t="inlineStr">
        <is>
          <t>39 years</t>
        </is>
      </c>
      <c r="AH13" s="79" t="inlineStr">
        <is>
          <t>Nonresidential real property (office buildings, retail stores, factories)</t>
        </is>
      </c>
      <c r="AI13" s="79" t="inlineStr">
        <is>
          <t>NO</t>
        </is>
      </c>
      <c r="AJ13" s="79" t="inlineStr">
        <is>
          <t>NO</t>
        </is>
      </c>
    </row>
    <row r="14" ht="16.5" customHeight="1" s="140" thickBot="1">
      <c r="B14" s="77" t="inlineStr">
        <is>
          <t>Total</t>
        </is>
      </c>
      <c r="C14" s="85" t="n"/>
      <c r="D14" s="85" t="n"/>
      <c r="E14" s="85" t="n"/>
      <c r="F14" s="78">
        <f>SUM(F3:F13)</f>
        <v/>
      </c>
      <c r="N14" s="24" t="inlineStr">
        <is>
          <t>Contribution Made</t>
        </is>
      </c>
      <c r="O14" s="55" t="n">
        <v>0</v>
      </c>
      <c r="T14" t="inlineStr">
        <is>
          <t>Single</t>
        </is>
      </c>
      <c r="U14" s="41" t="n">
        <v>197300</v>
      </c>
      <c r="V14" s="41" t="n">
        <v>247300</v>
      </c>
      <c r="AE14" s="50" t="inlineStr">
        <is>
          <t>50-year property</t>
        </is>
      </c>
      <c r="AF14" s="79" t="n">
        <v>50</v>
      </c>
      <c r="AG14" s="79" t="inlineStr">
        <is>
          <t>50 years</t>
        </is>
      </c>
      <c r="AH14" s="79" t="inlineStr">
        <is>
          <t>Railroad grading/tunnels</t>
        </is>
      </c>
      <c r="AI14" s="79" t="inlineStr">
        <is>
          <t>NO</t>
        </is>
      </c>
      <c r="AJ14" s="79" t="inlineStr">
        <is>
          <t>NO</t>
        </is>
      </c>
    </row>
    <row r="15" ht="16.5" customHeight="1" s="140" thickBot="1">
      <c r="H15" s="77" t="inlineStr">
        <is>
          <t>Deduction Qualify</t>
        </is>
      </c>
      <c r="I15" s="77" t="n"/>
      <c r="J15" s="77" t="n"/>
      <c r="K15" s="77" t="n"/>
      <c r="L15" s="77">
        <f>L13</f>
        <v/>
      </c>
      <c r="N15" t="inlineStr">
        <is>
          <t>Earned Income</t>
        </is>
      </c>
      <c r="O15" s="41" t="n">
        <v>5000</v>
      </c>
      <c r="T15" t="inlineStr">
        <is>
          <t>MFJ</t>
        </is>
      </c>
      <c r="U15" s="41" t="n">
        <v>394600</v>
      </c>
      <c r="V15" s="41" t="n">
        <v>494600</v>
      </c>
      <c r="AE15" s="50" t="inlineStr">
        <is>
          <t>Intangible property</t>
        </is>
      </c>
      <c r="AF15" s="79" t="inlineStr">
        <is>
          <t>Variable</t>
        </is>
      </c>
      <c r="AG15" s="79" t="inlineStr">
        <is>
          <t>15 years (typically)</t>
        </is>
      </c>
      <c r="AH15" s="79" t="inlineStr">
        <is>
          <t>Goodwill, patents, trademarks (amortized under §197)</t>
        </is>
      </c>
      <c r="AI15" s="79" t="inlineStr">
        <is>
          <t>NO</t>
        </is>
      </c>
      <c r="AJ15" s="79" t="inlineStr">
        <is>
          <t>NO</t>
        </is>
      </c>
    </row>
    <row r="16" ht="15.75" customHeight="1" s="140">
      <c r="B16" s="32" t="inlineStr">
        <is>
          <t>Student loan interest.</t>
        </is>
      </c>
      <c r="C16" s="32" t="n"/>
      <c r="D16" s="32" t="n"/>
      <c r="E16" s="32" t="n"/>
      <c r="F16" s="32" t="n"/>
      <c r="N16" t="inlineStr">
        <is>
          <t>AGI</t>
        </is>
      </c>
      <c r="O16" s="41">
        <f>'Tax Calculations'!E39</f>
        <v/>
      </c>
      <c r="P16" s="62" t="n"/>
      <c r="T16" t="inlineStr">
        <is>
          <t>MFS</t>
        </is>
      </c>
      <c r="U16" s="41" t="n">
        <v>197300</v>
      </c>
      <c r="V16" s="41" t="n">
        <v>247300</v>
      </c>
    </row>
    <row r="17" ht="15.75" customHeight="1" s="140">
      <c r="B17" t="inlineStr">
        <is>
          <t>Maximum Deduction</t>
        </is>
      </c>
      <c r="C17" s="55" t="n">
        <v>2500</v>
      </c>
      <c r="E17" t="inlineStr">
        <is>
          <t>Filing  Status</t>
        </is>
      </c>
      <c r="F17" s="18">
        <f>Inputs!D3</f>
        <v/>
      </c>
      <c r="N17" t="inlineStr">
        <is>
          <t>Deduction Phased Out</t>
        </is>
      </c>
      <c r="O17" s="62">
        <f>IF(AND(R13=N23,O16&gt;O23,O16&lt;P23),(O16-O23)/(P23-O23),IF(AND(R13=N23,O16&lt;O23),1,0))+IF(AND(R13=N24,O16&gt;O24,O16&lt;P24),(O16-O24)/(P24-O24),IF(AND(R13=N24,O16&lt;O24),1,0))+IF(AND(R13=N25,O16&gt;O25,O16&lt;P25),(O16-O25)/(P25-O25),IF(AND(R13=N25,O16&lt;O25),1,0))</f>
        <v/>
      </c>
      <c r="T17" t="inlineStr">
        <is>
          <t>Head of Household</t>
        </is>
      </c>
      <c r="U17" s="41" t="n">
        <v>197300</v>
      </c>
      <c r="V17" s="41" t="n">
        <v>247300</v>
      </c>
      <c r="AE17" s="98" t="inlineStr">
        <is>
          <t>MACRS Depreciation Rates</t>
        </is>
      </c>
      <c r="AF17" s="37" t="n"/>
      <c r="AG17" s="37" t="n"/>
      <c r="AH17" s="37" t="n"/>
      <c r="AI17" s="37" t="n"/>
      <c r="AJ17" s="37" t="n"/>
      <c r="AK17" s="37" t="n"/>
    </row>
    <row r="18" ht="15.75" customHeight="1" s="140">
      <c r="B18" t="inlineStr">
        <is>
          <t>Total Interest expense</t>
        </is>
      </c>
      <c r="C18" s="55" t="n">
        <v>0</v>
      </c>
      <c r="N18" t="inlineStr">
        <is>
          <t>Deduction for Traditional IRA</t>
        </is>
      </c>
      <c r="O18" s="41">
        <f>IF(O17=100%,O17*MIN(O12,O15),IF(AND(O17&lt;100%,O17&gt;0%),(1-O17)*MIN(O12,O15),IF(O17=0%,MIN(O12,O15)*O17,0)))</f>
        <v/>
      </c>
      <c r="AE18" s="50" t="inlineStr">
        <is>
          <t>Year</t>
        </is>
      </c>
      <c r="AF18" s="129" t="inlineStr">
        <is>
          <t>No of Years</t>
        </is>
      </c>
      <c r="AG18" s="50" t="inlineStr">
        <is>
          <t>Depreciation %</t>
        </is>
      </c>
      <c r="AH18" s="50" t="inlineStr">
        <is>
          <t>Explanation</t>
        </is>
      </c>
    </row>
    <row r="19" ht="16.5" customHeight="1" s="140" thickBot="1">
      <c r="B19" t="inlineStr">
        <is>
          <t>AGI</t>
        </is>
      </c>
      <c r="C19" s="55">
        <f>'Tax Calculations'!E39</f>
        <v/>
      </c>
      <c r="N19" s="77" t="inlineStr">
        <is>
          <t>Deduction Qualify</t>
        </is>
      </c>
      <c r="O19" s="78">
        <f>MIN(O18,O15,O14,O12)</f>
        <v/>
      </c>
      <c r="P19" s="78" t="n"/>
      <c r="Q19" s="78" t="n"/>
      <c r="R19" s="78" t="n"/>
      <c r="AE19" s="79" t="n">
        <v>2024</v>
      </c>
      <c r="AF19" t="n">
        <v>1</v>
      </c>
      <c r="AG19" s="96" t="n">
        <v>0.2</v>
      </c>
      <c r="AH19" s="79" t="inlineStr">
        <is>
          <t>Half-year convention (½ year)</t>
        </is>
      </c>
    </row>
    <row r="20" ht="15.75" customHeight="1" s="140">
      <c r="B20" t="inlineStr">
        <is>
          <t>% Applied due to AGI</t>
        </is>
      </c>
      <c r="C20" s="62">
        <f t="array" ref="C20">_xlfn.LET(
 _xlpm.status, TRIM(UPPER(F17)),
 _xlpm.choices, CHOOSE({1,2,3}, TRIM(UPPER(B25)), TRIM(UPPER(B26)), TRIM(UPPER(B28))),
 _xlpm.m, IFERROR(MATCH(_xlpm.status, _xlpm.choices, 0), 0),
 _xlpm.lower, IF(_xlpm.m=0, NA(), INDEX(CHOOSE({1,2,3}, C25, C26, C28), _xlpm.m)),
 _xlpm.upper, IF(_xlpm.m=0, NA(), INDEX(CHOOSE({1,2,3}, D25, D26, D28), _xlpm.m)),
 IF(_xlpm.m=0, 0,
    IF(C19&lt;_xlpm.lower, 1,
       IF(C19&lt;_xlpm.upper,
          IF((_xlpm.upper-_xlpm.lower)=0,0,(C19-_xlpm.lower)/(_xlpm.upper-_xlpm.lower)),
       0)
    )
 )
)</f>
        <v/>
      </c>
      <c r="E20" s="62" t="n"/>
      <c r="L20" s="41" t="n"/>
      <c r="T20" s="32" t="inlineStr">
        <is>
          <t>HSA Deduction</t>
        </is>
      </c>
      <c r="U20" s="32" t="n"/>
      <c r="V20" s="32" t="n"/>
      <c r="W20" s="32" t="n"/>
      <c r="X20" s="32" t="n"/>
      <c r="AE20" s="79" t="n">
        <v>2025</v>
      </c>
      <c r="AF20" t="n">
        <v>2</v>
      </c>
      <c r="AG20" s="96" t="n">
        <v>0.32</v>
      </c>
      <c r="AH20" s="79" t="inlineStr">
        <is>
          <t>Full year</t>
        </is>
      </c>
    </row>
    <row r="21" ht="16.5" customHeight="1" s="140" thickBot="1">
      <c r="B21" s="77" t="inlineStr">
        <is>
          <t>Deduction Qualify</t>
        </is>
      </c>
      <c r="C21" s="78">
        <f>IF(C20=100%,MIN(C18,C17),IF(AND(C20&lt;100%,C20&gt;0%),MIN(C18,C17)*(1-C20),IF(C20=0,C17*C20,0)))</f>
        <v/>
      </c>
      <c r="L21" s="41" t="n"/>
      <c r="N21" s="90" t="inlineStr">
        <is>
          <t>AGI Limits</t>
        </is>
      </c>
      <c r="O21" s="89" t="n"/>
      <c r="P21" s="89" t="n"/>
      <c r="Q21" s="89" t="n"/>
      <c r="R21" s="89" t="n"/>
      <c r="T21" t="inlineStr">
        <is>
          <t>Coverage Type</t>
        </is>
      </c>
      <c r="U21" s="70" t="inlineStr">
        <is>
          <t>Family</t>
        </is>
      </c>
      <c r="AE21" s="79" t="n">
        <v>2026</v>
      </c>
      <c r="AF21" t="n">
        <v>3</v>
      </c>
      <c r="AG21" s="97" t="n">
        <v>0.192</v>
      </c>
      <c r="AH21" s="79" t="inlineStr">
        <is>
          <t>Full year</t>
        </is>
      </c>
    </row>
    <row r="22" ht="15.75" customHeight="1" s="140">
      <c r="L22" s="41" t="n"/>
      <c r="O22" s="18" t="inlineStr">
        <is>
          <t>Minimum</t>
        </is>
      </c>
      <c r="P22" s="18" t="inlineStr">
        <is>
          <t>Maximum</t>
        </is>
      </c>
      <c r="T22" t="inlineStr">
        <is>
          <t>Employe. Contribution</t>
        </is>
      </c>
      <c r="U22" s="24" t="n">
        <v>0</v>
      </c>
      <c r="W22" t="inlineStr">
        <is>
          <t>Age</t>
        </is>
      </c>
      <c r="X22" t="n">
        <v>40</v>
      </c>
      <c r="AE22" s="79" t="n">
        <v>2027</v>
      </c>
      <c r="AF22" t="n">
        <v>4</v>
      </c>
      <c r="AG22" s="97" t="n">
        <v>0.1152</v>
      </c>
      <c r="AH22" s="79" t="inlineStr">
        <is>
          <t>Full year</t>
        </is>
      </c>
    </row>
    <row r="23" ht="15.75" customHeight="1" s="140">
      <c r="B23" s="45" t="inlineStr">
        <is>
          <t>Limits (AGI)</t>
        </is>
      </c>
      <c r="C23" s="46" t="n"/>
      <c r="D23" s="46" t="n"/>
      <c r="E23" s="46" t="n"/>
      <c r="F23" s="46" t="n"/>
      <c r="L23" s="41" t="n"/>
      <c r="N23" t="inlineStr">
        <is>
          <t>Single</t>
        </is>
      </c>
      <c r="O23" s="41" t="n">
        <v>77000</v>
      </c>
      <c r="P23" s="41" t="n">
        <v>87000</v>
      </c>
      <c r="T23" t="inlineStr">
        <is>
          <t>Max Limit</t>
        </is>
      </c>
      <c r="U23">
        <f>IF(U21=T29,U29,IF(U21=T28,U28,0))+ IF(X22&gt;55,1000,0)</f>
        <v/>
      </c>
      <c r="AE23" s="79" t="n">
        <v>2028</v>
      </c>
      <c r="AF23" t="n">
        <v>5</v>
      </c>
      <c r="AG23" s="97" t="n">
        <v>0.1152</v>
      </c>
      <c r="AH23" s="79" t="inlineStr">
        <is>
          <t>Full year</t>
        </is>
      </c>
    </row>
    <row r="24" ht="16.5" customHeight="1" s="140" thickBot="1">
      <c r="C24" s="129" t="inlineStr">
        <is>
          <t>Min Limit</t>
        </is>
      </c>
      <c r="D24" s="129" t="inlineStr">
        <is>
          <t>Max Limit</t>
        </is>
      </c>
      <c r="L24" s="41" t="n"/>
      <c r="N24" t="inlineStr">
        <is>
          <t>MFJ</t>
        </is>
      </c>
      <c r="O24" s="41" t="n">
        <v>123000</v>
      </c>
      <c r="P24" s="41" t="n">
        <v>143000</v>
      </c>
      <c r="T24" s="77" t="inlineStr">
        <is>
          <t>Deduction Qualify</t>
        </is>
      </c>
      <c r="U24" s="78">
        <f>IF(U22&lt;=U23,U22,U23)</f>
        <v/>
      </c>
      <c r="V24" s="78" t="n"/>
      <c r="W24" s="78" t="n"/>
      <c r="X24" s="78" t="n"/>
      <c r="AE24" s="79" t="n">
        <v>2029</v>
      </c>
      <c r="AF24" t="n">
        <v>6</v>
      </c>
      <c r="AG24" s="97" t="n">
        <v>0.0576</v>
      </c>
      <c r="AH24" s="79" t="inlineStr">
        <is>
          <t>Last half-year</t>
        </is>
      </c>
    </row>
    <row r="25" ht="15.75" customHeight="1" s="140">
      <c r="B25" s="129" t="inlineStr">
        <is>
          <t>Single</t>
        </is>
      </c>
      <c r="C25" s="83" t="n">
        <v>85000</v>
      </c>
      <c r="D25" s="83" t="n">
        <v>100000</v>
      </c>
      <c r="L25" s="41" t="n"/>
      <c r="N25" t="inlineStr">
        <is>
          <t>Head of Household</t>
        </is>
      </c>
      <c r="O25" s="41" t="n">
        <v>77000</v>
      </c>
      <c r="P25" s="41" t="n">
        <v>87000</v>
      </c>
    </row>
    <row r="26" ht="15.75" customHeight="1" s="140">
      <c r="B26" s="129" t="inlineStr">
        <is>
          <t>MFJ</t>
        </is>
      </c>
      <c r="C26" s="83" t="n">
        <v>170000</v>
      </c>
      <c r="D26" s="83" t="n">
        <v>200000</v>
      </c>
      <c r="N26" s="32" t="inlineStr">
        <is>
          <t>Home office Deduction</t>
        </is>
      </c>
      <c r="O26" s="32" t="n"/>
      <c r="P26" s="32" t="n"/>
      <c r="Q26" s="32" t="n"/>
      <c r="R26" s="32" t="n"/>
      <c r="T26" s="90" t="inlineStr">
        <is>
          <t>Contribution Limits</t>
        </is>
      </c>
      <c r="U26" s="89" t="n"/>
      <c r="V26" s="89" t="n"/>
      <c r="W26" s="89" t="n"/>
      <c r="X26" s="89" t="n"/>
    </row>
    <row r="27" ht="15.75" customHeight="1" s="140">
      <c r="B27" s="129" t="inlineStr">
        <is>
          <t>MFS</t>
        </is>
      </c>
      <c r="C27" s="83" t="n">
        <v>0</v>
      </c>
      <c r="D27" s="83" t="n">
        <v>0</v>
      </c>
      <c r="N27" s="45" t="inlineStr">
        <is>
          <t>Simplified Method</t>
        </is>
      </c>
      <c r="O27" s="46" t="n"/>
      <c r="P27" s="46" t="n"/>
      <c r="Q27" s="46" t="n"/>
      <c r="R27" s="46" t="n"/>
      <c r="T27" s="50" t="inlineStr">
        <is>
          <t>Coverage Type</t>
        </is>
      </c>
      <c r="U27" s="50" t="inlineStr">
        <is>
          <t>2024 Limit</t>
        </is>
      </c>
      <c r="V27" s="50" t="n"/>
      <c r="W27" s="50" t="inlineStr">
        <is>
          <t>Notes</t>
        </is>
      </c>
    </row>
    <row r="28" ht="15.75" customHeight="1" s="140">
      <c r="B28" s="129" t="inlineStr">
        <is>
          <t>Head of Household</t>
        </is>
      </c>
      <c r="C28" s="83" t="n">
        <v>85000</v>
      </c>
      <c r="D28" s="83" t="n">
        <v>100000</v>
      </c>
      <c r="N28" t="inlineStr">
        <is>
          <t>Number of Sqr feet</t>
        </is>
      </c>
      <c r="O28" t="n">
        <v>300</v>
      </c>
      <c r="P28" t="inlineStr">
        <is>
          <t>MAX</t>
        </is>
      </c>
      <c r="T28" t="inlineStr">
        <is>
          <t>Self Only</t>
        </is>
      </c>
      <c r="U28" s="142" t="n">
        <v>4300</v>
      </c>
      <c r="V28" s="142" t="n"/>
      <c r="W28" s="79" t="inlineStr">
        <is>
          <t>Applies if your HDHP only covers you</t>
        </is>
      </c>
    </row>
    <row r="29">
      <c r="N29" t="inlineStr">
        <is>
          <t>Actual Sqr feet</t>
        </is>
      </c>
      <c r="O29" s="24" t="n">
        <v>0</v>
      </c>
      <c r="T29" s="79" t="inlineStr">
        <is>
          <t>Family</t>
        </is>
      </c>
      <c r="U29" s="142" t="n">
        <v>8550</v>
      </c>
      <c r="V29" s="142" t="n"/>
      <c r="W29" s="79" t="inlineStr">
        <is>
          <t>Applies if your HDHP covers you + dependents</t>
        </is>
      </c>
    </row>
    <row r="30" ht="15.75" customHeight="1" s="140">
      <c r="B30" s="32" t="inlineStr">
        <is>
          <t>Educator expenses.</t>
        </is>
      </c>
      <c r="C30" s="32" t="n"/>
      <c r="D30" s="32" t="n"/>
      <c r="E30" s="32" t="n"/>
      <c r="F30" s="32" t="n"/>
      <c r="N30" t="inlineStr">
        <is>
          <t>Cost per Sqr Feet</t>
        </is>
      </c>
      <c r="O30" t="n">
        <v>5</v>
      </c>
      <c r="T30" s="79" t="inlineStr">
        <is>
          <t>Catch-up (age 55+)</t>
        </is>
      </c>
      <c r="U30" s="142" t="n">
        <v>1000</v>
      </c>
      <c r="V30" s="142" t="n"/>
      <c r="W30" s="79" t="inlineStr">
        <is>
          <t>Per eligible spouse</t>
        </is>
      </c>
    </row>
    <row r="31" ht="15.75" customHeight="1" s="140">
      <c r="B31" t="inlineStr">
        <is>
          <t>Maximum Deduction</t>
        </is>
      </c>
      <c r="C31">
        <f>IF(F31=C37,C38,IF(F31=D37,D38,IF(F31=F37,F38,0)))</f>
        <v/>
      </c>
      <c r="E31">
        <f>E17</f>
        <v/>
      </c>
      <c r="F31" s="18">
        <f>F17</f>
        <v/>
      </c>
      <c r="N31" s="15" t="inlineStr">
        <is>
          <t>Deduction Qualify</t>
        </is>
      </c>
      <c r="O31" s="15">
        <f>MIN(O28:O29)*O30</f>
        <v/>
      </c>
      <c r="P31" s="10" t="n"/>
      <c r="Q31" s="10" t="n"/>
      <c r="R31" s="10" t="n"/>
    </row>
    <row r="32">
      <c r="B32" t="inlineStr">
        <is>
          <t>Total Educator expense</t>
        </is>
      </c>
      <c r="C32" t="n">
        <v>0</v>
      </c>
      <c r="T32" s="48" t="n"/>
      <c r="U32" s="48" t="n"/>
      <c r="V32" s="48" t="n"/>
      <c r="W32" s="48" t="n"/>
      <c r="X32" s="48" t="n"/>
    </row>
    <row r="33" ht="15.75" customHeight="1" s="140">
      <c r="N33" s="45" t="inlineStr">
        <is>
          <t>Actual Expense Method</t>
        </is>
      </c>
      <c r="O33" s="46" t="n"/>
      <c r="P33" s="46" t="n"/>
      <c r="Q33" s="46" t="n"/>
      <c r="R33" s="46" t="n"/>
      <c r="T33" s="32" t="inlineStr">
        <is>
          <t>Depreciation (Bonus &amp; Section 179)</t>
        </is>
      </c>
      <c r="U33" s="32" t="n"/>
      <c r="V33" s="32" t="n"/>
      <c r="W33" s="32" t="n"/>
      <c r="X33" s="32" t="n"/>
    </row>
    <row r="34" ht="16.5" customHeight="1" s="140" thickBot="1">
      <c r="B34" s="77" t="inlineStr">
        <is>
          <t>Deduction Qualify</t>
        </is>
      </c>
      <c r="C34" s="78">
        <f>MIN(C31:C32)</f>
        <v/>
      </c>
      <c r="N34" t="inlineStr">
        <is>
          <t>Actual Area of home</t>
        </is>
      </c>
      <c r="O34" t="n">
        <v>600</v>
      </c>
      <c r="U34" s="48" t="n"/>
      <c r="V34" s="48" t="n"/>
      <c r="W34" s="48" t="inlineStr">
        <is>
          <t>Asset Nature</t>
        </is>
      </c>
      <c r="X34" s="48" t="inlineStr">
        <is>
          <t>Computers, office equipment, autos, light trucks, research equipment</t>
        </is>
      </c>
    </row>
    <row r="35">
      <c r="N35" t="inlineStr">
        <is>
          <t>Business Used of home</t>
        </is>
      </c>
      <c r="O35" t="n">
        <v>200</v>
      </c>
      <c r="T35" s="48" t="inlineStr">
        <is>
          <t>Asset Cost</t>
        </is>
      </c>
      <c r="U35" s="136" t="n">
        <v>0</v>
      </c>
      <c r="V35" s="48" t="n"/>
      <c r="W35" s="48" t="inlineStr">
        <is>
          <t xml:space="preserve">Asset Life </t>
        </is>
      </c>
      <c r="X35" s="48">
        <f>SUMIF(AH5:AH15,X34,AF5:AF15)</f>
        <v/>
      </c>
    </row>
    <row r="36" ht="15.75" customHeight="1" s="140">
      <c r="B36" s="45" t="inlineStr">
        <is>
          <t>Limits (Deduction)</t>
        </is>
      </c>
      <c r="C36" s="46" t="n"/>
      <c r="D36" s="46" t="n"/>
      <c r="E36" s="46" t="n"/>
      <c r="F36" s="46" t="n"/>
      <c r="N36" s="15" t="inlineStr">
        <is>
          <t>Business Use %</t>
        </is>
      </c>
      <c r="O36" s="86">
        <f>O35/O34</f>
        <v/>
      </c>
      <c r="P36" s="10" t="n"/>
      <c r="Q36" s="10" t="n"/>
      <c r="R36" s="10" t="n"/>
      <c r="T36" s="48" t="inlineStr">
        <is>
          <t>Asset Nature</t>
        </is>
      </c>
      <c r="U36" s="70" t="inlineStr">
        <is>
          <t>Vehicle</t>
        </is>
      </c>
    </row>
    <row r="37" ht="15.75" customHeight="1" s="140">
      <c r="C37" s="18" t="inlineStr">
        <is>
          <t>Single</t>
        </is>
      </c>
      <c r="D37" s="18" t="inlineStr">
        <is>
          <t>MFJ</t>
        </is>
      </c>
      <c r="E37" s="18" t="inlineStr">
        <is>
          <t>MFS</t>
        </is>
      </c>
      <c r="F37" s="18" t="inlineStr">
        <is>
          <t>Head of Household</t>
        </is>
      </c>
      <c r="T37" s="48" t="inlineStr">
        <is>
          <t>Bonus Depreciation Apply?</t>
        </is>
      </c>
      <c r="U37" s="70">
        <f>INDEX(AH5:AJ15, MATCH(X34, AH5:AH15, 0), 3)</f>
        <v/>
      </c>
      <c r="W37" s="48" t="inlineStr">
        <is>
          <t>Bonus Depreciation %</t>
        </is>
      </c>
      <c r="X37" s="94" t="n">
        <v>1</v>
      </c>
    </row>
    <row r="38" ht="15.75" customHeight="1" s="140">
      <c r="B38" t="inlineStr">
        <is>
          <t>Maximum Deduction</t>
        </is>
      </c>
      <c r="C38" t="n">
        <v>300</v>
      </c>
      <c r="D38" t="n">
        <v>600</v>
      </c>
      <c r="F38" t="n">
        <v>300</v>
      </c>
      <c r="N38" s="129" t="inlineStr">
        <is>
          <t>Actual Expenses</t>
        </is>
      </c>
      <c r="O38" s="76" t="n"/>
      <c r="T38" s="48" t="inlineStr">
        <is>
          <t>Section 179 Apply?</t>
        </is>
      </c>
      <c r="U38" s="70">
        <f>INDEX(AH5:AJ15, MATCH(X34, AH5:AH15, 0), 2)</f>
        <v/>
      </c>
      <c r="W38" t="inlineStr">
        <is>
          <t xml:space="preserve">Section 179 % </t>
        </is>
      </c>
      <c r="X38" s="12" t="n">
        <v>1</v>
      </c>
    </row>
    <row r="39">
      <c r="N39" s="76" t="inlineStr">
        <is>
          <t>Rent</t>
        </is>
      </c>
      <c r="O39" s="136" t="n"/>
      <c r="W39" s="48" t="inlineStr">
        <is>
          <t>Do you want to apply Bonus or 179?</t>
        </is>
      </c>
      <c r="X39" s="70" t="inlineStr">
        <is>
          <t>No</t>
        </is>
      </c>
    </row>
    <row r="40" ht="15.75" customHeight="1" s="140">
      <c r="N40" s="76" t="inlineStr">
        <is>
          <t>Utilities</t>
        </is>
      </c>
      <c r="O40" s="136" t="n"/>
      <c r="T40" s="15" t="inlineStr">
        <is>
          <t xml:space="preserve">Deduction Qualify Y1 </t>
        </is>
      </c>
      <c r="U40" s="16">
        <f>$U$35*AG19</f>
        <v/>
      </c>
      <c r="V40" s="15" t="n"/>
      <c r="W40" s="15" t="n"/>
      <c r="X40" s="15" t="n"/>
    </row>
    <row r="41" ht="15.75" customHeight="1" s="140">
      <c r="N41" s="76" t="inlineStr">
        <is>
          <t>Insurance</t>
        </is>
      </c>
      <c r="O41" s="136" t="n"/>
      <c r="T41" s="129" t="inlineStr">
        <is>
          <t>Deduction Qualify Y2</t>
        </is>
      </c>
      <c r="U41" s="42">
        <f>$U$35*AG20</f>
        <v/>
      </c>
    </row>
    <row r="42" ht="15.75" customHeight="1" s="140">
      <c r="N42" s="76" t="inlineStr">
        <is>
          <t>Repairs</t>
        </is>
      </c>
      <c r="O42" s="136" t="n"/>
      <c r="T42" s="129" t="inlineStr">
        <is>
          <t>Deduction Qualify Y3</t>
        </is>
      </c>
      <c r="U42" s="42">
        <f>$U$35*AG21</f>
        <v/>
      </c>
    </row>
    <row r="43" ht="15.75" customHeight="1" s="140">
      <c r="H43" s="127" t="n"/>
      <c r="I43" s="127" t="n"/>
      <c r="J43" s="127" t="n"/>
      <c r="K43" s="127" t="n"/>
      <c r="L43" s="127" t="n"/>
      <c r="N43" s="87" t="inlineStr">
        <is>
          <t>Total</t>
        </is>
      </c>
      <c r="O43" s="87">
        <f>SUM(O39:O42)</f>
        <v/>
      </c>
      <c r="P43" s="10" t="n"/>
      <c r="Q43" s="10" t="n"/>
      <c r="R43" s="10" t="n"/>
      <c r="T43" s="129" t="inlineStr">
        <is>
          <t>Deduction Qualify Y4</t>
        </is>
      </c>
      <c r="U43" s="42">
        <f>$U$35*AG22</f>
        <v/>
      </c>
    </row>
    <row r="44" ht="15.75" customHeight="1" s="140">
      <c r="H44" s="127" t="n"/>
      <c r="I44" s="127" t="n"/>
      <c r="J44" s="127" t="n"/>
      <c r="K44" s="127" t="n"/>
      <c r="L44" s="127" t="n"/>
      <c r="T44" s="129" t="inlineStr">
        <is>
          <t>Deduction Qualify Y5</t>
        </is>
      </c>
      <c r="U44" s="42">
        <f>$U$35*AG23</f>
        <v/>
      </c>
    </row>
    <row r="45" ht="15.75" customHeight="1" s="140">
      <c r="N45" s="15" t="inlineStr">
        <is>
          <t>Deduction Qualify</t>
        </is>
      </c>
      <c r="O45" s="52">
        <f>O43*O36</f>
        <v/>
      </c>
      <c r="P45" s="10" t="n"/>
      <c r="Q45" s="10" t="n"/>
      <c r="R45" s="10" t="n"/>
      <c r="T45" s="129" t="inlineStr">
        <is>
          <t>Deduction Qualify Y6</t>
        </is>
      </c>
      <c r="U45" s="42">
        <f>$U$35*AG24</f>
        <v/>
      </c>
    </row>
    <row r="46" ht="15.75" customHeight="1" s="140">
      <c r="N46" s="129" t="n"/>
      <c r="O46" s="112" t="n"/>
    </row>
    <row r="47" ht="16.5" customHeight="1" s="140" thickBot="1">
      <c r="N47" s="77" t="inlineStr">
        <is>
          <t>Higher of</t>
        </is>
      </c>
      <c r="O47" s="78">
        <f>MAX(O45,O31)</f>
        <v/>
      </c>
      <c r="P47" s="85" t="n"/>
      <c r="Q47" s="85" t="n"/>
      <c r="R47" s="85" t="n"/>
      <c r="T47" s="90" t="inlineStr">
        <is>
          <t>Section 179 Limits</t>
        </is>
      </c>
      <c r="U47" s="89" t="n"/>
      <c r="V47" s="89" t="n"/>
      <c r="W47" s="89" t="n"/>
      <c r="X47" s="89" t="n"/>
    </row>
    <row r="48" ht="15.75" customHeight="1" s="140">
      <c r="T48" s="50" t="inlineStr">
        <is>
          <t>Limit Type</t>
        </is>
      </c>
      <c r="U48" s="95" t="inlineStr">
        <is>
          <t>Amount (2024)</t>
        </is>
      </c>
      <c r="V48" s="50" t="inlineStr">
        <is>
          <t>Explanation</t>
        </is>
      </c>
    </row>
    <row r="49" ht="15.75" customHeight="1" s="140">
      <c r="T49" s="50" t="inlineStr">
        <is>
          <t>Maximum deduction (cap)</t>
        </is>
      </c>
      <c r="U49" s="145" t="n">
        <v>2500000</v>
      </c>
      <c r="V49" s="79" t="inlineStr">
        <is>
          <t>This is the total amount you can elect to expense under §179.</t>
        </is>
      </c>
    </row>
    <row r="50" ht="15.75" customHeight="1" s="140">
      <c r="T50" s="50" t="inlineStr">
        <is>
          <t>Phase-out threshold</t>
        </is>
      </c>
      <c r="U50" s="145" t="n">
        <v>4000000</v>
      </c>
      <c r="V50" s="79" t="inlineStr">
        <is>
          <t>For every dollar your total qualifying purchases exceed $3,050,000, your §179 deduction is reduced dollar-for-dollar.</t>
        </is>
      </c>
    </row>
    <row r="51" ht="15.75" customHeight="1" s="140">
      <c r="T51" s="50" t="inlineStr">
        <is>
          <t>Business-income limit</t>
        </is>
      </c>
      <c r="U51" s="79" t="inlineStr">
        <is>
          <t>Limited to your taxable business income</t>
        </is>
      </c>
      <c r="V51" s="79" t="inlineStr">
        <is>
          <t>You cannot use §179 to create a loss; any unused portion carries forward.</t>
        </is>
      </c>
    </row>
    <row r="52" ht="15.75" customHeight="1" s="140">
      <c r="T52" s="50" t="inlineStr">
        <is>
          <t>Carryforward</t>
        </is>
      </c>
      <c r="U52" s="79" t="inlineStr">
        <is>
          <t>Allowed</t>
        </is>
      </c>
      <c r="V52" s="79" t="inlineStr">
        <is>
          <t>Unused deduction (due to income limitation) can be carried to the next tax year.</t>
        </is>
      </c>
    </row>
  </sheetData>
  <dataValidations count="3">
    <dataValidation sqref="O13 X4 X39" showDropDown="0" showInputMessage="1" showErrorMessage="1" allowBlank="1" type="list">
      <formula1>"Yes,No"</formula1>
    </dataValidation>
    <dataValidation sqref="T28 U21" showDropDown="0" showInputMessage="1" showErrorMessage="1" allowBlank="1" type="list">
      <formula1>"Self Only,Family"</formula1>
    </dataValidation>
    <dataValidation sqref="X34" showDropDown="0" showInputMessage="1" showErrorMessage="1" allowBlank="1" type="list">
      <formula1>$AH$5:$AH$15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L46"/>
  <sheetViews>
    <sheetView showGridLines="0" tabSelected="1" zoomScale="80" zoomScaleNormal="80" workbookViewId="0">
      <selection activeCell="B8" sqref="B8"/>
    </sheetView>
  </sheetViews>
  <sheetFormatPr baseColWidth="8" defaultColWidth="11.5546875" defaultRowHeight="15"/>
  <cols>
    <col width="17" customWidth="1" style="140" min="2" max="2"/>
    <col width="14.33203125" customWidth="1" style="140" min="3" max="3"/>
    <col width="13.33203125" customWidth="1" style="140" min="5" max="5"/>
    <col width="17.44140625" customWidth="1" style="140" min="6" max="6"/>
    <col width="26.77734375" customWidth="1" style="140" min="8" max="8"/>
    <col width="25.6640625" customWidth="1" style="140" min="9" max="9"/>
    <col width="15.77734375" customWidth="1" style="140" min="11" max="11"/>
  </cols>
  <sheetData>
    <row r="2" ht="15.75" customHeight="1" s="140">
      <c r="B2" s="32" t="inlineStr">
        <is>
          <t>Itemized Deductions (Schedule A)</t>
        </is>
      </c>
      <c r="C2" s="32" t="n"/>
      <c r="D2" s="32" t="n"/>
      <c r="E2" s="32" t="n"/>
      <c r="F2" s="32" t="n"/>
      <c r="H2" s="32" t="inlineStr">
        <is>
          <t>Investment Interest Expense (NIIT)</t>
        </is>
      </c>
      <c r="I2" s="32" t="n"/>
      <c r="J2" s="32" t="n"/>
      <c r="K2" s="32" t="n"/>
      <c r="L2" s="32" t="n"/>
    </row>
    <row r="3">
      <c r="B3" t="inlineStr">
        <is>
          <t>State &amp; Local Income Taxes</t>
        </is>
      </c>
      <c r="F3" s="41">
        <f>C19</f>
        <v/>
      </c>
      <c r="H3" t="inlineStr">
        <is>
          <t>Investment interest paid</t>
        </is>
      </c>
      <c r="I3" s="55" t="n">
        <v>5000</v>
      </c>
    </row>
    <row r="4">
      <c r="B4" t="inlineStr">
        <is>
          <t>Foreign Taxes</t>
        </is>
      </c>
      <c r="F4" s="41">
        <f>F32</f>
        <v/>
      </c>
      <c r="H4" t="inlineStr">
        <is>
          <t>Net investment income</t>
        </is>
      </c>
      <c r="I4" s="55" t="n">
        <v>40000</v>
      </c>
    </row>
    <row r="5">
      <c r="B5" t="inlineStr">
        <is>
          <t>Investment Interest Expense</t>
        </is>
      </c>
      <c r="F5" s="41">
        <f>I8</f>
        <v/>
      </c>
      <c r="I5" s="41" t="n"/>
    </row>
    <row r="6">
      <c r="B6" t="inlineStr">
        <is>
          <t>Charitable Contribution</t>
        </is>
      </c>
      <c r="F6" s="41">
        <f>I21</f>
        <v/>
      </c>
      <c r="I6" s="41" t="n"/>
    </row>
    <row r="7">
      <c r="B7" t="inlineStr">
        <is>
          <t>Gamblling Losses</t>
        </is>
      </c>
      <c r="I7" s="41" t="n"/>
    </row>
    <row r="8" ht="16.5" customHeight="1" s="140" thickBot="1">
      <c r="B8" t="inlineStr">
        <is>
          <t>Amortizable Premium on taxable bonds</t>
        </is>
      </c>
      <c r="H8" s="77" t="inlineStr">
        <is>
          <t>Deduction Qualify</t>
        </is>
      </c>
      <c r="I8" s="78">
        <f>MIN(I3:I7)</f>
        <v/>
      </c>
    </row>
    <row r="9">
      <c r="B9" t="inlineStr">
        <is>
          <t>Personal Casualty &amp; Theft Losses</t>
        </is>
      </c>
      <c r="F9" s="41">
        <f>I40</f>
        <v/>
      </c>
    </row>
    <row r="10">
      <c r="B10" t="inlineStr">
        <is>
          <t>Mortgage Interest</t>
        </is>
      </c>
      <c r="F10" s="41" t="n">
        <v>8000</v>
      </c>
    </row>
    <row r="11">
      <c r="B11" t="inlineStr">
        <is>
          <t>Medical Expense Deduction</t>
        </is>
      </c>
      <c r="F11" s="41">
        <f>I46</f>
        <v/>
      </c>
    </row>
    <row r="12" ht="16.5" customHeight="1" s="140" thickBot="1">
      <c r="B12" s="77" t="inlineStr">
        <is>
          <t>Total</t>
        </is>
      </c>
      <c r="C12" s="77" t="n"/>
      <c r="D12" s="77" t="n"/>
      <c r="E12" s="77" t="n"/>
      <c r="F12" s="78">
        <f>SUM(F3:F11)</f>
        <v/>
      </c>
    </row>
    <row r="15" ht="15.75" customHeight="1" s="140">
      <c r="B15" s="32" t="inlineStr">
        <is>
          <t>State &amp; Local Income Taxes (SALT)</t>
        </is>
      </c>
      <c r="C15" s="32" t="n"/>
      <c r="D15" s="32" t="n"/>
      <c r="E15" s="32" t="n"/>
      <c r="F15" s="32" t="n"/>
      <c r="H15" s="32" t="inlineStr">
        <is>
          <t>Charitable Contribution</t>
        </is>
      </c>
      <c r="I15" s="32" t="n"/>
      <c r="J15" s="32" t="n"/>
      <c r="K15" s="32" t="n"/>
      <c r="L15" s="32" t="n"/>
    </row>
    <row r="16" ht="15.75" customHeight="1" s="140">
      <c r="B16" t="inlineStr">
        <is>
          <t>Max Limit</t>
        </is>
      </c>
      <c r="C16" s="41">
        <f>IF(F16=C24,C25,IF(F16=D24,D25,IF(F16=E24,E25,IF(F16=F24,F25,0))))</f>
        <v/>
      </c>
      <c r="E16" s="129" t="inlineStr">
        <is>
          <t>Filing status</t>
        </is>
      </c>
      <c r="F16" s="76">
        <f>'Tax Credits'!I3</f>
        <v/>
      </c>
      <c r="H16" t="inlineStr">
        <is>
          <t>AGI</t>
        </is>
      </c>
      <c r="I16" s="41" t="n">
        <v>50000</v>
      </c>
      <c r="K16" s="129" t="inlineStr">
        <is>
          <t>Public/Private</t>
        </is>
      </c>
      <c r="L16" t="inlineStr">
        <is>
          <t>Private</t>
        </is>
      </c>
    </row>
    <row r="17">
      <c r="B17" t="inlineStr">
        <is>
          <t>Tax Paid</t>
        </is>
      </c>
      <c r="C17" s="55" t="n">
        <v>12000</v>
      </c>
      <c r="H17" t="inlineStr">
        <is>
          <t>Cash Contributions</t>
        </is>
      </c>
      <c r="I17" s="55" t="n">
        <v>9000</v>
      </c>
    </row>
    <row r="18">
      <c r="C18" s="41" t="n"/>
      <c r="H18" t="inlineStr">
        <is>
          <t>Property Contributions</t>
        </is>
      </c>
      <c r="I18" s="55" t="n">
        <v>0</v>
      </c>
    </row>
    <row r="19" ht="16.5" customHeight="1" s="140" thickBot="1">
      <c r="B19" s="77" t="inlineStr">
        <is>
          <t>Deduction Qualify</t>
        </is>
      </c>
      <c r="C19" s="78">
        <f>MIN(C17,C16)</f>
        <v/>
      </c>
      <c r="H19" s="80" t="inlineStr">
        <is>
          <t>Ordinary Income Property</t>
        </is>
      </c>
      <c r="I19" s="55" t="n">
        <v>12000</v>
      </c>
    </row>
    <row r="20">
      <c r="H20" t="inlineStr">
        <is>
          <t>Stocks</t>
        </is>
      </c>
      <c r="I20" s="55" t="n">
        <v>5000</v>
      </c>
    </row>
    <row r="21" ht="16.5" customHeight="1" s="140" thickBot="1">
      <c r="H21" s="77" t="inlineStr">
        <is>
          <t>Deduction Qualify</t>
        </is>
      </c>
      <c r="I21" s="78">
        <f>IF(I17=0,0,IF(H26=L16,MIN(J26*I16,I17),MIN(J25*I16,I17)))+IF(L16=H30,MIN(J30*I16,I19),MIN(J29*I16,I19))+IF(L16=H28,MIN(J28*I16,I18),MIN(J27*I16,I18))+IF(I20=0,0,IF(H32=L16,MIN(J32*I16,I20),MIN(J31*I16,I20)))</f>
        <v/>
      </c>
    </row>
    <row r="23" ht="15.75" customHeight="1" s="140">
      <c r="B23" s="45" t="inlineStr">
        <is>
          <t>Limits</t>
        </is>
      </c>
      <c r="C23" s="46" t="n"/>
      <c r="D23" s="46" t="n"/>
      <c r="E23" s="46" t="n"/>
      <c r="F23" s="46" t="n"/>
      <c r="H23" s="45" t="inlineStr">
        <is>
          <t>Limits</t>
        </is>
      </c>
      <c r="I23" s="45" t="n"/>
      <c r="J23" s="45" t="n"/>
      <c r="K23" s="45" t="n"/>
      <c r="L23" s="45" t="n"/>
    </row>
    <row r="24" ht="15.75" customHeight="1" s="140">
      <c r="C24" t="inlineStr">
        <is>
          <t>Single</t>
        </is>
      </c>
      <c r="D24" t="inlineStr">
        <is>
          <t>MFJ</t>
        </is>
      </c>
      <c r="E24" t="inlineStr">
        <is>
          <t>MFS</t>
        </is>
      </c>
      <c r="F24" t="inlineStr">
        <is>
          <t>Head of Household</t>
        </is>
      </c>
      <c r="H24" s="50" t="inlineStr">
        <is>
          <t>Type of Charity</t>
        </is>
      </c>
      <c r="I24" s="50" t="inlineStr">
        <is>
          <t>Type of Gift</t>
        </is>
      </c>
      <c r="J24" s="50" t="inlineStr">
        <is>
          <t>Maximum Deduction (% of AGI)</t>
        </is>
      </c>
      <c r="K24" s="129" t="n"/>
      <c r="L24" s="129" t="n"/>
    </row>
    <row r="25" ht="15.75" customHeight="1" s="140">
      <c r="C25" s="55" t="n">
        <v>40000</v>
      </c>
      <c r="D25" s="55" t="n">
        <v>40000</v>
      </c>
      <c r="E25" s="55" t="n">
        <v>20000</v>
      </c>
      <c r="F25" s="55" t="n">
        <v>40000</v>
      </c>
      <c r="H25" s="79" t="inlineStr">
        <is>
          <t>Public</t>
        </is>
      </c>
      <c r="I25" s="80" t="inlineStr">
        <is>
          <t>Cash</t>
        </is>
      </c>
      <c r="J25" s="81" t="n">
        <v>0.6</v>
      </c>
      <c r="K25" s="129" t="inlineStr">
        <is>
          <t>of AGI</t>
        </is>
      </c>
    </row>
    <row r="26" ht="15.75" customHeight="1" s="140">
      <c r="H26" s="79" t="inlineStr">
        <is>
          <t>Private</t>
        </is>
      </c>
      <c r="I26" s="80" t="inlineStr">
        <is>
          <t>Cash</t>
        </is>
      </c>
      <c r="J26" s="81" t="n">
        <v>0.3</v>
      </c>
      <c r="K26" s="129" t="inlineStr">
        <is>
          <t>of AGI</t>
        </is>
      </c>
    </row>
    <row r="27" ht="15.75" customHeight="1" s="140">
      <c r="H27" s="79" t="inlineStr">
        <is>
          <t>Public</t>
        </is>
      </c>
      <c r="I27" s="80" t="inlineStr">
        <is>
          <t>Appreciated property</t>
        </is>
      </c>
      <c r="J27" s="81" t="n">
        <v>0.3</v>
      </c>
      <c r="K27" s="129" t="inlineStr">
        <is>
          <t>of AGI</t>
        </is>
      </c>
    </row>
    <row r="28" ht="15.75" customHeight="1" s="140">
      <c r="H28" s="79" t="inlineStr">
        <is>
          <t>Private</t>
        </is>
      </c>
      <c r="I28" s="80" t="inlineStr">
        <is>
          <t>Appreciated property</t>
        </is>
      </c>
      <c r="J28" s="81" t="n">
        <v>0.2</v>
      </c>
      <c r="K28" s="129" t="inlineStr">
        <is>
          <t>of AGI</t>
        </is>
      </c>
    </row>
    <row r="29" ht="15.75" customHeight="1" s="140">
      <c r="B29" s="32" t="inlineStr">
        <is>
          <t>Foreign Taxes</t>
        </is>
      </c>
      <c r="C29" s="32" t="n"/>
      <c r="D29" s="32" t="n"/>
      <c r="E29" s="32" t="n"/>
      <c r="F29" s="32" t="n"/>
      <c r="H29" s="79" t="inlineStr">
        <is>
          <t>Public</t>
        </is>
      </c>
      <c r="I29" s="80" t="inlineStr">
        <is>
          <t>Ordinary Income Property</t>
        </is>
      </c>
      <c r="J29" s="81" t="n">
        <v>0.5</v>
      </c>
      <c r="K29" s="129" t="inlineStr">
        <is>
          <t>of AGI</t>
        </is>
      </c>
    </row>
    <row r="30" ht="15.75" customHeight="1" s="140">
      <c r="B30" s="50" t="inlineStr">
        <is>
          <t>Foreign income taxes</t>
        </is>
      </c>
      <c r="F30" s="145" t="n">
        <v>4000</v>
      </c>
      <c r="H30" s="79" t="inlineStr">
        <is>
          <t>Private</t>
        </is>
      </c>
      <c r="I30" s="80" t="inlineStr">
        <is>
          <t>Ordinary Income Property</t>
        </is>
      </c>
      <c r="J30" s="81" t="n">
        <v>0.3</v>
      </c>
      <c r="K30" s="129" t="inlineStr">
        <is>
          <t>of AGI</t>
        </is>
      </c>
    </row>
    <row r="31" ht="15.75" customHeight="1" s="140">
      <c r="B31" s="50" t="n"/>
      <c r="C31" s="145" t="n"/>
      <c r="H31" s="79" t="inlineStr">
        <is>
          <t>Public</t>
        </is>
      </c>
      <c r="I31" s="80" t="inlineStr">
        <is>
          <t>Appreciated stocks/Capital Gain</t>
        </is>
      </c>
      <c r="J31" s="81" t="n">
        <v>0.3</v>
      </c>
      <c r="K31" s="129" t="inlineStr">
        <is>
          <t>of AGI</t>
        </is>
      </c>
    </row>
    <row r="32" ht="16.5" customHeight="1" s="140" thickBot="1">
      <c r="B32" s="77" t="inlineStr">
        <is>
          <t>Deduction Qualify</t>
        </is>
      </c>
      <c r="C32" s="78" t="n"/>
      <c r="D32" s="78" t="n"/>
      <c r="E32" s="78" t="n"/>
      <c r="F32" s="78">
        <f>SUM(F30:F31)</f>
        <v/>
      </c>
      <c r="H32" s="79" t="inlineStr">
        <is>
          <t>Private</t>
        </is>
      </c>
      <c r="I32" s="80" t="inlineStr">
        <is>
          <t>Appreciated stocks/Capital Gain</t>
        </is>
      </c>
      <c r="J32" s="81" t="n">
        <v>0.2</v>
      </c>
      <c r="K32" s="129" t="inlineStr">
        <is>
          <t>of AGI</t>
        </is>
      </c>
    </row>
    <row r="33">
      <c r="B33" s="79" t="n"/>
      <c r="F33" s="142" t="n"/>
    </row>
    <row r="34" ht="15.75" customHeight="1" s="140">
      <c r="H34" s="32" t="inlineStr">
        <is>
          <t>Personal Casualty &amp; Theft Losses</t>
        </is>
      </c>
      <c r="I34" s="32" t="n"/>
      <c r="J34" s="32" t="n"/>
      <c r="K34" s="32" t="n"/>
      <c r="L34" s="32" t="n"/>
    </row>
    <row r="35">
      <c r="H35" s="79" t="inlineStr">
        <is>
          <t>Property Basis Adjusted Basis</t>
        </is>
      </c>
      <c r="I35" s="55" t="n">
        <v>80000</v>
      </c>
    </row>
    <row r="36">
      <c r="H36" s="79" t="inlineStr">
        <is>
          <t>FMV Before Disaster</t>
        </is>
      </c>
      <c r="I36" s="55" t="n">
        <v>100000</v>
      </c>
    </row>
    <row r="37">
      <c r="H37" s="79" t="inlineStr">
        <is>
          <t>FMV After Disaster</t>
        </is>
      </c>
      <c r="I37" s="55" t="n">
        <v>40000</v>
      </c>
    </row>
    <row r="38">
      <c r="H38" s="79" t="inlineStr">
        <is>
          <t>Insurance reimbursement</t>
        </is>
      </c>
      <c r="I38" s="55" t="n">
        <v>30000</v>
      </c>
    </row>
    <row r="39">
      <c r="H39" s="79" t="inlineStr">
        <is>
          <t>AGI</t>
        </is>
      </c>
      <c r="I39" s="55" t="n">
        <v>60000</v>
      </c>
    </row>
    <row r="40" ht="16.5" customHeight="1" s="140" thickBot="1">
      <c r="H40" s="77" t="inlineStr">
        <is>
          <t>Deduction Qualify</t>
        </is>
      </c>
      <c r="I40" s="78">
        <f>MIN(I36-I37,I35)-I38-(I39*10%)-100</f>
        <v/>
      </c>
    </row>
    <row r="42" ht="15.75" customHeight="1" s="140">
      <c r="H42" s="32" t="inlineStr">
        <is>
          <t>Medical Expense Deduction</t>
        </is>
      </c>
      <c r="I42" s="32" t="n"/>
      <c r="J42" s="32" t="n"/>
      <c r="K42" s="32" t="n"/>
      <c r="L42" s="32" t="n"/>
    </row>
    <row r="43">
      <c r="H43" s="79" t="inlineStr">
        <is>
          <t>Qualified Medical Expenses</t>
        </is>
      </c>
      <c r="I43" s="55" t="n">
        <v>50000</v>
      </c>
    </row>
    <row r="44">
      <c r="H44" t="inlineStr">
        <is>
          <t>AGI</t>
        </is>
      </c>
      <c r="I44" s="55" t="n">
        <v>100000</v>
      </c>
    </row>
    <row r="45">
      <c r="I45" s="41" t="n"/>
    </row>
    <row r="46" ht="16.5" customHeight="1" s="140" thickBot="1">
      <c r="H46" s="77" t="inlineStr">
        <is>
          <t>Deduction Qualify</t>
        </is>
      </c>
      <c r="I46" s="78">
        <f>MAX(I43-I44*7.5%,0)</f>
        <v/>
      </c>
    </row>
  </sheetData>
  <dataValidations disablePrompts="1" count="1">
    <dataValidation sqref="L16" showDropDown="0" showInputMessage="1" showErrorMessage="1" allowBlank="1" type="list">
      <formula1>"Public,Private"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B2:Z76"/>
  <sheetViews>
    <sheetView showGridLines="0" topLeftCell="K1" zoomScaleNormal="100" workbookViewId="0">
      <selection activeCell="B15" sqref="B15"/>
    </sheetView>
  </sheetViews>
  <sheetFormatPr baseColWidth="8" defaultColWidth="11.5546875" defaultRowHeight="15"/>
  <cols>
    <col width="35.44140625" customWidth="1" style="140" min="2" max="2"/>
    <col width="17.109375" customWidth="1" style="140" min="4" max="4"/>
    <col width="17.44140625" customWidth="1" style="140" min="5" max="5"/>
    <col width="15.44140625" customWidth="1" style="140" min="6" max="6"/>
    <col width="23.33203125" customWidth="1" style="140" min="8" max="8"/>
    <col width="19.44140625" customWidth="1" style="140" min="9" max="9"/>
    <col width="17" customWidth="1" style="140" min="10" max="10"/>
    <col width="16.77734375" customWidth="1" style="140" min="11" max="11"/>
    <col width="16.77734375" customWidth="1" style="140" min="14" max="14"/>
    <col width="13.44140625" bestFit="1" customWidth="1" style="140" min="16" max="16"/>
    <col width="18" bestFit="1" customWidth="1" style="140" min="17" max="17"/>
    <col width="12.6640625" customWidth="1" style="140" min="18" max="18"/>
    <col width="31.109375" customWidth="1" style="140" min="20" max="20"/>
    <col width="30.33203125" customWidth="1" style="140" min="21" max="21"/>
    <col width="25.109375" customWidth="1" style="140" min="22" max="22"/>
    <col width="16.44140625" bestFit="1" customWidth="1" style="140" min="23" max="23"/>
  </cols>
  <sheetData>
    <row r="2" ht="15.75" customHeight="1" s="140">
      <c r="B2" s="32" t="inlineStr">
        <is>
          <t>Tax Credits</t>
        </is>
      </c>
      <c r="C2" s="32" t="inlineStr">
        <is>
          <t>Status</t>
        </is>
      </c>
      <c r="D2" s="32" t="n"/>
      <c r="E2" s="32" t="n"/>
      <c r="F2" s="32" t="n"/>
      <c r="H2" s="32" t="inlineStr">
        <is>
          <t>EITC (Earned Income Tax Credit)</t>
        </is>
      </c>
      <c r="I2" s="32" t="n"/>
      <c r="J2" s="32" t="n"/>
      <c r="K2" s="32" t="n"/>
      <c r="L2" s="32" t="n"/>
      <c r="M2" s="127" t="n"/>
      <c r="N2" s="32" t="inlineStr">
        <is>
          <t>CTC (Child Tax Credit) &amp; ACTC</t>
        </is>
      </c>
      <c r="O2" s="32" t="n"/>
      <c r="P2" s="32" t="n"/>
      <c r="Q2" s="32" t="n"/>
      <c r="R2" s="32" t="n"/>
      <c r="S2" s="32" t="n"/>
      <c r="U2" s="32" t="inlineStr">
        <is>
          <t>Premium Tax Credit</t>
        </is>
      </c>
      <c r="V2" s="32" t="n"/>
      <c r="W2" s="32" t="n"/>
      <c r="X2" s="32" t="n"/>
      <c r="Y2" s="32" t="n"/>
      <c r="Z2" s="32" t="n"/>
    </row>
    <row r="3" ht="15.75" customHeight="1" s="140">
      <c r="B3" t="inlineStr">
        <is>
          <t>EITC (Earned Income Tax Credit)</t>
        </is>
      </c>
      <c r="C3" t="inlineStr">
        <is>
          <t>Refundable</t>
        </is>
      </c>
      <c r="F3" s="41" t="n">
        <v>0</v>
      </c>
      <c r="H3" t="inlineStr">
        <is>
          <t>Filing Status</t>
        </is>
      </c>
      <c r="I3" s="49">
        <f>Inputs!D3</f>
        <v/>
      </c>
      <c r="J3" s="47" t="n"/>
      <c r="K3" s="47" t="n"/>
      <c r="L3" s="47" t="n"/>
      <c r="M3" s="47" t="n"/>
      <c r="N3" t="inlineStr">
        <is>
          <t>Credit is reduced by $50 for every $1,000 of AGI above these thresholds.</t>
        </is>
      </c>
      <c r="U3" t="inlineStr">
        <is>
          <t>Amount Spend on Health Insurance</t>
        </is>
      </c>
      <c r="V3" s="55" t="n">
        <v>600</v>
      </c>
      <c r="W3" t="inlineStr">
        <is>
          <t>Per month</t>
        </is>
      </c>
    </row>
    <row r="4">
      <c r="B4" t="inlineStr">
        <is>
          <t>CTC (Child Tax Credit) &amp; ACTC</t>
        </is>
      </c>
      <c r="C4" t="inlineStr">
        <is>
          <t>Refundable</t>
        </is>
      </c>
      <c r="F4" s="41">
        <f>P9</f>
        <v/>
      </c>
      <c r="H4" s="48" t="inlineStr">
        <is>
          <t>Earned Income</t>
        </is>
      </c>
      <c r="I4" s="54">
        <f>SUM('Tax Calculations'!E6,'Tax Calculations'!E7)</f>
        <v/>
      </c>
      <c r="J4" s="48" t="n"/>
      <c r="K4" s="48" t="n"/>
      <c r="L4" s="48" t="n"/>
      <c r="M4" s="48" t="n"/>
      <c r="N4" t="inlineStr">
        <is>
          <t>Credit Amount Max</t>
        </is>
      </c>
      <c r="P4" s="41" t="n">
        <v>2200</v>
      </c>
      <c r="U4" t="inlineStr">
        <is>
          <t>Expected contribtution $</t>
        </is>
      </c>
      <c r="V4" s="146">
        <f>V5*V10</f>
        <v/>
      </c>
      <c r="W4" t="inlineStr">
        <is>
          <t>Per month</t>
        </is>
      </c>
    </row>
    <row r="5" ht="15.75" customHeight="1" s="140">
      <c r="B5" t="inlineStr">
        <is>
          <t>Credit for Other Dependents</t>
        </is>
      </c>
      <c r="C5" t="inlineStr">
        <is>
          <t>Non-Refundable</t>
        </is>
      </c>
      <c r="F5" s="41">
        <f>P21</f>
        <v/>
      </c>
      <c r="H5" t="inlineStr">
        <is>
          <t>Dependents Claim</t>
        </is>
      </c>
      <c r="I5" s="40" t="n">
        <v>0</v>
      </c>
      <c r="J5" s="48" t="n"/>
      <c r="K5" s="48" t="n"/>
      <c r="L5" s="48" t="n"/>
      <c r="M5" s="48" t="n"/>
      <c r="N5" t="inlineStr">
        <is>
          <t>Refundable part</t>
        </is>
      </c>
      <c r="P5" s="41" t="n">
        <v>1700</v>
      </c>
      <c r="R5" s="67" t="inlineStr">
        <is>
          <t>Filing Status</t>
        </is>
      </c>
      <c r="S5" s="68">
        <f>I3</f>
        <v/>
      </c>
      <c r="U5" t="inlineStr">
        <is>
          <t>Expected Contribution %</t>
        </is>
      </c>
      <c r="V5" s="84">
        <f>IF(V6&lt;V21,W21,IF(AND(V6&gt;U22,V6&lt;V22),((V6-U22)/(V22-U22))*X22))+IF(AND(V6&gt;U23,V6&lt;V23),((V6-U23)/(V23-U23))*X23)+IF(AND(V6&gt;U24,V6&lt;V24),((V6-U24)/(V24-U24))*X24)+IF(AND(V6&gt;U25,V6&lt;V25),((V6-U25)/(V25-U25))*X25)+IF(AND(V6&gt;U26,V6&lt;V26),((V6-U26)/(V26-U26))*W26)</f>
        <v/>
      </c>
    </row>
    <row r="6" ht="16.5" customHeight="1" s="140" thickBot="1">
      <c r="B6" t="inlineStr">
        <is>
          <t>Child and Dependent Care Credit</t>
        </is>
      </c>
      <c r="C6" t="inlineStr">
        <is>
          <t>Non-Refundable</t>
        </is>
      </c>
      <c r="F6" s="41">
        <f>P34</f>
        <v/>
      </c>
      <c r="H6" s="60" t="inlineStr">
        <is>
          <t>Credit Amount</t>
        </is>
      </c>
      <c r="I6" s="60">
        <f>IF(OR(Inputs!H3=TRUE,Inputs!H13=TRUE),
IF(I4&lt;IF(I3=I11,SUMIFS(J12:J15,H12:H15,I5,K12:K15,"&gt;"&amp;I4),IF(I3=J11,SUMIFS(L12:L15,H12:H15,I5,I12:I15,"&gt;"&amp;I4),IF(I3=K11,SUMIFS(I12:I15,H12:H15,I5,I12:I15,"&gt;"&amp;I4),IF(I3=L11,SUMIFS(I12:I15,H12:H15,I5,I12:I15,"&gt;"&amp;I4),0)))),SUMIF(H21:H24,I5,I21:I24),0),0)</f>
        <v/>
      </c>
      <c r="J6" s="48" t="n"/>
      <c r="K6" s="48" t="n"/>
      <c r="L6" s="48" t="n"/>
      <c r="M6" s="48" t="n"/>
      <c r="N6" t="inlineStr">
        <is>
          <t>Dependents</t>
        </is>
      </c>
      <c r="P6" s="24" t="n">
        <v>0</v>
      </c>
      <c r="Q6" s="14" t="n"/>
      <c r="U6" t="inlineStr">
        <is>
          <t>Income Percentage of FPL</t>
        </is>
      </c>
      <c r="V6" s="62">
        <f>IFERROR(V10/V9,0)</f>
        <v/>
      </c>
    </row>
    <row r="7" ht="15.75" customHeight="1" s="140" thickTop="1">
      <c r="B7" t="inlineStr">
        <is>
          <t>Premium Tax Credit</t>
        </is>
      </c>
      <c r="C7" t="inlineStr">
        <is>
          <t>Refundable</t>
        </is>
      </c>
      <c r="F7" s="41">
        <f>V11</f>
        <v/>
      </c>
      <c r="H7" s="48" t="n"/>
      <c r="J7" s="48" t="n"/>
      <c r="K7" s="48" t="n"/>
      <c r="L7" s="48" t="n"/>
      <c r="M7" s="48" t="n"/>
      <c r="N7" t="inlineStr">
        <is>
          <t>AGI</t>
        </is>
      </c>
      <c r="P7" s="41">
        <f>'Tax Calculations'!E39</f>
        <v/>
      </c>
      <c r="U7" t="inlineStr">
        <is>
          <t>Household Persons?</t>
        </is>
      </c>
      <c r="V7" s="55" t="n">
        <v>3</v>
      </c>
    </row>
    <row r="8">
      <c r="B8" s="141" t="inlineStr">
        <is>
          <t>Credit for Elderly Or Disabled</t>
        </is>
      </c>
      <c r="C8" t="inlineStr">
        <is>
          <t>Non-Refundable</t>
        </is>
      </c>
      <c r="F8" s="41">
        <f>C26</f>
        <v/>
      </c>
      <c r="H8" s="48" t="n"/>
      <c r="I8" s="41" t="n"/>
      <c r="N8" t="inlineStr">
        <is>
          <t>Tax Liability</t>
        </is>
      </c>
      <c r="P8" s="41">
        <f>'Tax Calculations'!F60</f>
        <v/>
      </c>
      <c r="U8" t="inlineStr">
        <is>
          <t>Does Health Insurance needed?</t>
        </is>
      </c>
      <c r="V8" s="70">
        <f>IF(V6&lt;150%,"No","Yes")</f>
        <v/>
      </c>
    </row>
    <row r="9" ht="15.75" customHeight="1" s="140">
      <c r="B9" s="141" t="inlineStr">
        <is>
          <t>Retirement Saving Contribution Credit</t>
        </is>
      </c>
      <c r="C9" t="inlineStr">
        <is>
          <t>Non-Refundable</t>
        </is>
      </c>
      <c r="F9" s="41">
        <f>V34</f>
        <v/>
      </c>
      <c r="H9" s="127" t="n"/>
      <c r="I9" s="127" t="n"/>
      <c r="J9" s="127" t="n"/>
      <c r="K9" s="127" t="n"/>
      <c r="L9" s="127" t="n"/>
      <c r="M9" s="127" t="n"/>
      <c r="N9" s="15" t="inlineStr">
        <is>
          <t>Credit Amount</t>
        </is>
      </c>
      <c r="O9" s="15" t="n"/>
      <c r="P9" s="66">
        <f>MAX(0,(P4*P6)-MAX(0,(P7-(IF(S5=P13,P14,IF(S5=Q13,Q14,IF(S5=S13,S14,0)))))/1000*50)*P6)</f>
        <v/>
      </c>
      <c r="T9" s="18" t="n"/>
      <c r="U9" t="inlineStr">
        <is>
          <t>FPL</t>
        </is>
      </c>
      <c r="V9" s="41">
        <f>IF(V7=U15,W15,IF(V7=U16,W16,IF(V7=U17,W17,IF(U18=V7,W18,0))))</f>
        <v/>
      </c>
    </row>
    <row r="10" ht="15.75" customHeight="1" s="140">
      <c r="B10" t="inlineStr">
        <is>
          <t>Foreign Tax Credits</t>
        </is>
      </c>
      <c r="C10" t="inlineStr">
        <is>
          <t>Non-Refundable</t>
        </is>
      </c>
      <c r="F10" s="41">
        <f>P51</f>
        <v/>
      </c>
      <c r="H10" s="45" t="inlineStr">
        <is>
          <t>AGI LIMIT</t>
        </is>
      </c>
      <c r="I10" s="46" t="n"/>
      <c r="J10" s="46" t="n"/>
      <c r="K10" s="46" t="n"/>
      <c r="L10" s="46" t="n"/>
      <c r="N10" s="129" t="inlineStr">
        <is>
          <t>Credit Amount Refundable</t>
        </is>
      </c>
      <c r="P10">
        <f>MIN(P9 - MIN(P8,P9), P5*P6)</f>
        <v/>
      </c>
      <c r="T10" s="41" t="n"/>
      <c r="U10" t="inlineStr">
        <is>
          <t>household Income</t>
        </is>
      </c>
      <c r="V10" s="55">
        <f>'Tax Calculations'!E39</f>
        <v/>
      </c>
    </row>
    <row r="11" ht="15.75" customHeight="1" s="140">
      <c r="B11" t="inlineStr">
        <is>
          <t>AOTC (American Opportunity Tax Credit)</t>
        </is>
      </c>
      <c r="C11" t="inlineStr">
        <is>
          <t>Refundable</t>
        </is>
      </c>
      <c r="F11" s="41">
        <f>I33</f>
        <v/>
      </c>
      <c r="H11" s="129" t="inlineStr">
        <is>
          <t>Dependent Claims</t>
        </is>
      </c>
      <c r="I11" s="18" t="inlineStr">
        <is>
          <t>Single</t>
        </is>
      </c>
      <c r="J11" s="18" t="inlineStr">
        <is>
          <t>Head of Household</t>
        </is>
      </c>
      <c r="K11" s="63" t="inlineStr">
        <is>
          <t>MFS</t>
        </is>
      </c>
      <c r="L11" s="18" t="inlineStr">
        <is>
          <t>MFJ</t>
        </is>
      </c>
      <c r="M11" s="18" t="n"/>
      <c r="P11" s="14" t="n"/>
      <c r="T11" s="41" t="n"/>
      <c r="U11" s="15" t="inlineStr">
        <is>
          <t>Credit Amount</t>
        </is>
      </c>
      <c r="V11" s="147">
        <f>MAX(0,V3-V4)*12</f>
        <v/>
      </c>
    </row>
    <row r="12" ht="15.75" customHeight="1" s="140">
      <c r="B12" t="inlineStr">
        <is>
          <t>LLC (Lifetime learning Credit)</t>
        </is>
      </c>
      <c r="C12" t="inlineStr">
        <is>
          <t>Refundable</t>
        </is>
      </c>
      <c r="F12" s="41">
        <f>I46</f>
        <v/>
      </c>
      <c r="H12" s="24" t="n">
        <v>0</v>
      </c>
      <c r="I12" s="55" t="n">
        <v>18591</v>
      </c>
      <c r="J12" s="55" t="n">
        <v>18591</v>
      </c>
      <c r="K12" s="64" t="n">
        <v>18591</v>
      </c>
      <c r="L12" s="55" t="n">
        <v>25511</v>
      </c>
      <c r="M12" s="55" t="n"/>
      <c r="N12" s="45" t="inlineStr">
        <is>
          <t>AGI LIMIT (MAGI)</t>
        </is>
      </c>
      <c r="O12" s="46" t="n"/>
      <c r="P12" s="46" t="n"/>
      <c r="Q12" s="46" t="n"/>
      <c r="R12" s="46" t="n"/>
      <c r="S12" s="46" t="n"/>
    </row>
    <row r="13" ht="15.75" customHeight="1" s="140">
      <c r="B13" t="inlineStr">
        <is>
          <t>Residential Energy Property Credit</t>
        </is>
      </c>
      <c r="C13" t="inlineStr">
        <is>
          <t>Non-Refundable</t>
        </is>
      </c>
      <c r="F13" s="41">
        <f>C50</f>
        <v/>
      </c>
      <c r="H13" s="24" t="n">
        <v>1</v>
      </c>
      <c r="I13" s="55" t="n">
        <v>49084</v>
      </c>
      <c r="J13" s="55" t="n">
        <v>49084</v>
      </c>
      <c r="K13" s="64" t="n">
        <v>49084</v>
      </c>
      <c r="L13" s="55" t="n">
        <v>56004</v>
      </c>
      <c r="M13" s="55" t="n"/>
      <c r="P13" s="18" t="inlineStr">
        <is>
          <t>Single</t>
        </is>
      </c>
      <c r="Q13" s="18" t="inlineStr">
        <is>
          <t>Head of Household</t>
        </is>
      </c>
      <c r="R13" s="18" t="n"/>
      <c r="S13" s="18" t="inlineStr">
        <is>
          <t>MFJ</t>
        </is>
      </c>
      <c r="U13" s="50" t="inlineStr">
        <is>
          <t>Federal Poverty Line (FPL)</t>
        </is>
      </c>
    </row>
    <row r="14" ht="15.75" customHeight="1" s="140">
      <c r="B14" s="141" t="inlineStr">
        <is>
          <t>Electric Vehicle Credit</t>
        </is>
      </c>
      <c r="C14" t="inlineStr">
        <is>
          <t>Non-Refundable</t>
        </is>
      </c>
      <c r="F14" s="41">
        <f>C69</f>
        <v/>
      </c>
      <c r="H14" s="24" t="n">
        <v>2</v>
      </c>
      <c r="I14" s="55" t="n">
        <v>55768</v>
      </c>
      <c r="J14" s="55" t="n">
        <v>55768</v>
      </c>
      <c r="K14" s="64" t="n">
        <v>55768</v>
      </c>
      <c r="L14" s="55" t="n">
        <v>62688</v>
      </c>
      <c r="M14" s="55" t="n"/>
      <c r="N14" t="inlineStr">
        <is>
          <t>Limit</t>
        </is>
      </c>
      <c r="P14" s="55" t="n">
        <v>200000</v>
      </c>
      <c r="Q14" s="55" t="n">
        <v>200000</v>
      </c>
      <c r="R14" s="55" t="n"/>
      <c r="S14" s="55" t="n">
        <v>400000</v>
      </c>
      <c r="U14" s="129" t="inlineStr">
        <is>
          <t>Household Persons</t>
        </is>
      </c>
      <c r="V14" s="18" t="inlineStr">
        <is>
          <t>Minimum</t>
        </is>
      </c>
      <c r="W14" s="129" t="inlineStr">
        <is>
          <t>Maximum</t>
        </is>
      </c>
    </row>
    <row r="15">
      <c r="B15" s="141" t="inlineStr">
        <is>
          <t>Non Business Energy Property Credit</t>
        </is>
      </c>
      <c r="C15" t="inlineStr">
        <is>
          <t>Non-Refundable</t>
        </is>
      </c>
      <c r="F15" s="41">
        <f>I61</f>
        <v/>
      </c>
      <c r="H15" s="24" t="n">
        <v>3</v>
      </c>
      <c r="I15" s="55" t="n">
        <v>59899</v>
      </c>
      <c r="J15" s="55" t="n">
        <v>59899</v>
      </c>
      <c r="K15" s="64" t="n">
        <v>59899</v>
      </c>
      <c r="L15" s="55" t="n">
        <v>66819</v>
      </c>
      <c r="M15" s="55" t="n"/>
      <c r="U15" t="n">
        <v>1</v>
      </c>
      <c r="V15" s="41" t="n">
        <v>0</v>
      </c>
      <c r="W15" s="41" t="n">
        <v>15600</v>
      </c>
    </row>
    <row r="16" ht="15.75" customHeight="1" s="140">
      <c r="B16" t="inlineStr">
        <is>
          <t>Adoption Credit</t>
        </is>
      </c>
      <c r="C16" t="inlineStr">
        <is>
          <t>Non-Refundable</t>
        </is>
      </c>
      <c r="F16" s="41" t="n"/>
      <c r="N16" s="32" t="inlineStr">
        <is>
          <t>Other Dependents Credit (ODC)</t>
        </is>
      </c>
      <c r="O16" s="32" t="n"/>
      <c r="P16" s="32" t="n"/>
      <c r="Q16" s="32" t="n"/>
      <c r="R16" s="32" t="n"/>
      <c r="S16" s="32" t="n"/>
      <c r="U16" t="n">
        <v>2</v>
      </c>
      <c r="V16" s="41" t="n">
        <v>15601</v>
      </c>
      <c r="W16" s="41" t="n">
        <v>20400</v>
      </c>
    </row>
    <row r="17" ht="15.75" customHeight="1" s="140">
      <c r="F17" s="41" t="n"/>
      <c r="H17" t="inlineStr">
        <is>
          <t>Investment Income Limit</t>
        </is>
      </c>
      <c r="I17" s="55" t="n">
        <v>11950</v>
      </c>
      <c r="J17" t="inlineStr">
        <is>
          <t>or less</t>
        </is>
      </c>
      <c r="N17" t="inlineStr">
        <is>
          <t>Credit is reduced by $50 for every $1,000 of AGI above these thresholds.</t>
        </is>
      </c>
      <c r="U17" t="n">
        <v>3</v>
      </c>
      <c r="V17" s="41" t="n">
        <v>20401</v>
      </c>
      <c r="W17" s="41" t="n">
        <v>25820</v>
      </c>
    </row>
    <row r="18" ht="16.5" customHeight="1" s="140" thickBot="1">
      <c r="B18" s="77" t="inlineStr">
        <is>
          <t>Total Credits</t>
        </is>
      </c>
      <c r="C18" s="77" t="n"/>
      <c r="D18" s="77" t="n"/>
      <c r="E18" s="77" t="n"/>
      <c r="F18" s="78">
        <f>SUM(F3:F17)</f>
        <v/>
      </c>
      <c r="M18" s="129" t="n"/>
      <c r="N18" t="inlineStr">
        <is>
          <t>Credit Amount Max</t>
        </is>
      </c>
      <c r="P18" t="n">
        <v>500</v>
      </c>
      <c r="U18" t="n">
        <v>4</v>
      </c>
      <c r="V18" s="41" t="n">
        <v>25821</v>
      </c>
      <c r="W18" s="41">
        <f>W17+5140</f>
        <v/>
      </c>
    </row>
    <row r="19" ht="15.75" customHeight="1" s="140">
      <c r="H19" s="45" t="inlineStr">
        <is>
          <t>Max Credit Amount</t>
        </is>
      </c>
      <c r="I19" s="45" t="n"/>
      <c r="J19" s="45" t="n"/>
      <c r="K19" s="45" t="n"/>
      <c r="L19" s="45" t="n"/>
      <c r="N19" t="inlineStr">
        <is>
          <t>Dependents</t>
        </is>
      </c>
      <c r="P19" s="24" t="n">
        <v>0</v>
      </c>
      <c r="R19" s="67">
        <f>R5</f>
        <v/>
      </c>
      <c r="S19" s="68">
        <f>S5</f>
        <v/>
      </c>
      <c r="U19" s="45" t="inlineStr">
        <is>
          <t>AGI LIMIT (MAGI)</t>
        </is>
      </c>
      <c r="V19" s="46" t="n"/>
      <c r="W19" s="46" t="n"/>
      <c r="X19" s="46" t="n"/>
      <c r="Y19" s="46" t="n"/>
      <c r="Z19" s="46" t="n"/>
    </row>
    <row r="20" ht="15.75" customHeight="1" s="140">
      <c r="B20" s="32" t="inlineStr">
        <is>
          <t>Credit for Elderly Or Disabled</t>
        </is>
      </c>
      <c r="C20" s="32" t="n"/>
      <c r="D20" s="32" t="n"/>
      <c r="E20" s="32" t="n"/>
      <c r="F20" s="32" t="n"/>
      <c r="H20" s="129" t="inlineStr">
        <is>
          <t>Dependent Claims</t>
        </is>
      </c>
      <c r="I20" s="129" t="inlineStr">
        <is>
          <t>Max Credit Amount</t>
        </is>
      </c>
      <c r="N20" t="inlineStr">
        <is>
          <t>AGI</t>
        </is>
      </c>
      <c r="P20" s="41" t="n">
        <v>201000</v>
      </c>
      <c r="U20" s="50" t="inlineStr">
        <is>
          <t>Household Income as % of FPL</t>
        </is>
      </c>
      <c r="W20" s="50" t="inlineStr">
        <is>
          <t>Expected Contribution (% of Income toward premiums)</t>
        </is>
      </c>
    </row>
    <row r="21" ht="15.75" customHeight="1" s="140">
      <c r="H21" s="24" t="n">
        <v>0</v>
      </c>
      <c r="I21" s="55" t="n">
        <v>430</v>
      </c>
      <c r="N21" s="15" t="inlineStr">
        <is>
          <t>Credit Amount</t>
        </is>
      </c>
      <c r="O21" s="15" t="n"/>
      <c r="P21" s="16">
        <f>MAX(0,(P18*P19)-MAX(0,(P20-(IF(S19=P25,P26,IF(S19=Q25,Q26,IF(S19=S25,S26,0)))))/1000*50)*P19)</f>
        <v/>
      </c>
      <c r="U21" s="96" t="n">
        <v>0</v>
      </c>
      <c r="V21" s="12" t="n">
        <v>1.5</v>
      </c>
      <c r="W21" s="96" t="n">
        <v>0</v>
      </c>
      <c r="X21" s="12" t="n">
        <v>0</v>
      </c>
    </row>
    <row r="22">
      <c r="B22" t="inlineStr">
        <is>
          <t>Age</t>
        </is>
      </c>
      <c r="C22">
        <f>Inputs!D4</f>
        <v/>
      </c>
      <c r="E22" t="inlineStr">
        <is>
          <t xml:space="preserve">Age must be </t>
        </is>
      </c>
      <c r="F22" s="70" t="inlineStr">
        <is>
          <t>65+</t>
        </is>
      </c>
      <c r="H22" s="24" t="n">
        <v>1</v>
      </c>
      <c r="I22" s="55" t="n">
        <v>4213</v>
      </c>
      <c r="U22" s="96" t="n">
        <v>1.5</v>
      </c>
      <c r="V22" s="12" t="n">
        <v>2</v>
      </c>
      <c r="W22" s="96" t="n">
        <v>0</v>
      </c>
      <c r="X22" s="12" t="n">
        <v>0.02</v>
      </c>
    </row>
    <row r="23">
      <c r="B23" t="inlineStr">
        <is>
          <t>AGI</t>
        </is>
      </c>
      <c r="C23" s="41">
        <f>'Tax Calculations'!E39</f>
        <v/>
      </c>
      <c r="E23" t="inlineStr">
        <is>
          <t>Filing status</t>
        </is>
      </c>
      <c r="F23" s="70" t="inlineStr">
        <is>
          <t>MFJ (both qualify)</t>
        </is>
      </c>
      <c r="H23" s="24" t="n">
        <v>2</v>
      </c>
      <c r="I23" s="55" t="n">
        <v>6960</v>
      </c>
      <c r="U23" s="96" t="n">
        <v>2</v>
      </c>
      <c r="V23" s="12" t="n">
        <v>2.5</v>
      </c>
      <c r="W23" s="96" t="n">
        <v>0.02</v>
      </c>
      <c r="X23" s="12" t="n">
        <v>0.04</v>
      </c>
    </row>
    <row r="24" ht="15.75" customHeight="1" s="140">
      <c r="B24" t="inlineStr">
        <is>
          <t>Non taxable social security</t>
        </is>
      </c>
      <c r="C24" s="41" t="n">
        <v>0</v>
      </c>
      <c r="H24" s="24" t="n">
        <v>3</v>
      </c>
      <c r="I24" s="55" t="n">
        <v>7830</v>
      </c>
      <c r="N24" s="45" t="inlineStr">
        <is>
          <t>AGI LIMIT (MAGI)</t>
        </is>
      </c>
      <c r="O24" s="46" t="n"/>
      <c r="P24" s="46" t="n"/>
      <c r="Q24" s="46" t="n"/>
      <c r="R24" s="46" t="n"/>
      <c r="S24" s="46" t="n"/>
      <c r="U24" s="96" t="n">
        <v>2.5</v>
      </c>
      <c r="V24" s="12" t="n">
        <v>3</v>
      </c>
      <c r="W24" s="96" t="n">
        <v>0.04</v>
      </c>
      <c r="X24" s="12" t="n">
        <v>0.06</v>
      </c>
    </row>
    <row r="25" ht="15.75" customHeight="1" s="140">
      <c r="B25" t="inlineStr">
        <is>
          <t>Qualified Benefit</t>
        </is>
      </c>
      <c r="C25" s="14">
        <f>F30-C24</f>
        <v/>
      </c>
      <c r="P25" s="18" t="inlineStr">
        <is>
          <t>Single</t>
        </is>
      </c>
      <c r="Q25" s="18" t="inlineStr">
        <is>
          <t>Head of Household</t>
        </is>
      </c>
      <c r="R25" s="18" t="n"/>
      <c r="S25" s="18" t="inlineStr">
        <is>
          <t>MFJ</t>
        </is>
      </c>
      <c r="U25" s="96" t="n">
        <v>3</v>
      </c>
      <c r="V25" s="12" t="n">
        <v>4</v>
      </c>
      <c r="W25" s="96" t="n">
        <v>0.06</v>
      </c>
      <c r="X25" s="26" t="n">
        <v>0.08500000000000001</v>
      </c>
    </row>
    <row r="26" ht="16.5" customHeight="1" s="140" thickBot="1">
      <c r="B26" s="58" t="inlineStr">
        <is>
          <t>Credit Qualify</t>
        </is>
      </c>
      <c r="C26" s="101">
        <f>IF(C22&gt;=65,
IF(AND(C23&lt;E30,F23=B30),MAX(0,C25-(C23-E37)/2),0)+IF(AND(C23&lt;E31,F23=B31),MAX(0,C25-(C23-E38)/2),0)+IF(AND(C23&lt;E32,F23=B32),MAX(0,C25-(C23-E39)/2),0)+IF(AND(C23&lt;E33,F23=B33),MAX(0,C25-(C23-E40)/2),0)+IF(AND(C23&lt;E34,F23=B34),MAX(0,C25-(C23-E41)/2),0),0)</f>
        <v/>
      </c>
      <c r="N26" t="inlineStr">
        <is>
          <t>Limit</t>
        </is>
      </c>
      <c r="P26" s="55" t="n">
        <v>200000</v>
      </c>
      <c r="Q26" s="55" t="n">
        <v>200000</v>
      </c>
      <c r="R26" s="55" t="n"/>
      <c r="S26" s="55" t="n">
        <v>400000</v>
      </c>
      <c r="U26" s="73" t="n">
        <v>4</v>
      </c>
      <c r="W26" s="107" t="n">
        <v>0.08500000000000001</v>
      </c>
    </row>
    <row r="27" ht="16.5" customHeight="1" s="140" thickTop="1">
      <c r="H27" s="32" t="inlineStr">
        <is>
          <t>AOTC (American Opportunity Tax Credit)</t>
        </is>
      </c>
      <c r="I27" s="32" t="n"/>
      <c r="J27" s="32" t="n"/>
      <c r="K27" s="32" t="n"/>
      <c r="L27" s="32" t="n"/>
    </row>
    <row r="28" ht="15.75" customHeight="1" s="140">
      <c r="B28" s="45" t="inlineStr">
        <is>
          <t>AGI Limit</t>
        </is>
      </c>
      <c r="C28" s="45" t="n"/>
      <c r="D28" s="45" t="n"/>
      <c r="E28" s="45" t="n"/>
      <c r="F28" s="45" t="n"/>
      <c r="H28" s="56" t="inlineStr">
        <is>
          <t>100 percent of the first $2,000 of qualifying expenses, plus 25 percent of the next $2,000, paid during the tax year</t>
        </is>
      </c>
      <c r="N28" s="32" t="inlineStr">
        <is>
          <t>Child and Dependent Care Credit</t>
        </is>
      </c>
      <c r="O28" s="32" t="n"/>
      <c r="P28" s="32" t="n"/>
      <c r="Q28" s="32" t="n"/>
      <c r="R28" s="32" t="n"/>
      <c r="S28" s="32" t="n"/>
    </row>
    <row r="29" ht="15.75" customHeight="1" s="140">
      <c r="B29" s="50" t="inlineStr">
        <is>
          <t>Filing Status (For Qualification)</t>
        </is>
      </c>
      <c r="E29" s="95" t="inlineStr">
        <is>
          <t>AGI Limit</t>
        </is>
      </c>
      <c r="F29" s="95" t="inlineStr">
        <is>
          <t>Benefits Limit</t>
        </is>
      </c>
      <c r="H29" t="inlineStr">
        <is>
          <t>Credit Amount Max</t>
        </is>
      </c>
      <c r="I29" s="61" t="n">
        <v>2500</v>
      </c>
      <c r="N29" t="inlineStr">
        <is>
          <t>Credit Amount Max</t>
        </is>
      </c>
      <c r="P29" s="55" t="n">
        <v>3000</v>
      </c>
      <c r="U29" s="32" t="inlineStr">
        <is>
          <t>Retirement Saving Contribution Credit</t>
        </is>
      </c>
      <c r="V29" s="32" t="n"/>
      <c r="W29" s="32" t="n"/>
      <c r="X29" s="32" t="n"/>
      <c r="Y29" s="32" t="n"/>
      <c r="Z29" s="32" t="n"/>
    </row>
    <row r="30" ht="15.75" customHeight="1" s="140">
      <c r="B30" s="79" t="inlineStr">
        <is>
          <t>Single</t>
        </is>
      </c>
      <c r="E30" s="102" t="n">
        <v>17500</v>
      </c>
      <c r="F30" s="102" t="n">
        <v>5000</v>
      </c>
      <c r="H30" t="inlineStr">
        <is>
          <t>Refundable part (40%)</t>
        </is>
      </c>
      <c r="I30" s="61">
        <f>I29*40%</f>
        <v/>
      </c>
      <c r="K30" s="129" t="inlineStr">
        <is>
          <t>Filing Status</t>
        </is>
      </c>
      <c r="L30" s="129">
        <f>I3</f>
        <v/>
      </c>
      <c r="N30" t="inlineStr">
        <is>
          <t>Child Care Paid</t>
        </is>
      </c>
      <c r="P30" s="55" t="n">
        <v>2500</v>
      </c>
      <c r="U30" t="inlineStr">
        <is>
          <t>Maximum Contribution</t>
        </is>
      </c>
      <c r="V30">
        <f>IF(Z31="MFJ",4000,2000)</f>
        <v/>
      </c>
    </row>
    <row r="31" ht="15.75" customHeight="1" s="140">
      <c r="B31" t="inlineStr">
        <is>
          <t>Head of Household</t>
        </is>
      </c>
      <c r="E31" s="102" t="n">
        <v>17500</v>
      </c>
      <c r="F31" s="102" t="n">
        <v>5000</v>
      </c>
      <c r="H31" t="inlineStr">
        <is>
          <t>Education Spend</t>
        </is>
      </c>
      <c r="I31" s="55" t="n">
        <v>310</v>
      </c>
      <c r="N31" t="inlineStr">
        <is>
          <t>Dependents</t>
        </is>
      </c>
      <c r="P31" s="24" t="n">
        <v>0</v>
      </c>
      <c r="S31" s="49" t="n"/>
      <c r="U31" t="inlineStr">
        <is>
          <t>AGI</t>
        </is>
      </c>
      <c r="V31" s="55">
        <f>'Tax Calculations'!E39</f>
        <v/>
      </c>
      <c r="Y31" s="74">
        <f>R5</f>
        <v/>
      </c>
      <c r="Z31" s="45" t="inlineStr">
        <is>
          <t>MFJ</t>
        </is>
      </c>
    </row>
    <row r="32" ht="15.75" customHeight="1" s="140">
      <c r="B32" s="79" t="inlineStr">
        <is>
          <t>MFJ (both qualify)</t>
        </is>
      </c>
      <c r="E32" s="102" t="n">
        <v>25000</v>
      </c>
      <c r="F32" s="102" t="n">
        <v>7500</v>
      </c>
      <c r="H32" t="inlineStr">
        <is>
          <t>MAGI</t>
        </is>
      </c>
      <c r="I32" s="55">
        <f>'Tax Calculations'!E39</f>
        <v/>
      </c>
      <c r="N32" t="inlineStr">
        <is>
          <t>AGI</t>
        </is>
      </c>
      <c r="P32" s="55" t="n">
        <v>20000</v>
      </c>
      <c r="U32" t="inlineStr">
        <is>
          <t>Contribution to IRA</t>
        </is>
      </c>
      <c r="V32" s="55" t="n"/>
      <c r="W32" s="42" t="n"/>
    </row>
    <row r="33" ht="16.5" customHeight="1" s="140" thickBot="1">
      <c r="B33" s="79" t="inlineStr">
        <is>
          <t>MFJ (one qualifies)</t>
        </is>
      </c>
      <c r="E33" s="102" t="n">
        <v>20000</v>
      </c>
      <c r="F33" s="102" t="n">
        <v>5000</v>
      </c>
      <c r="H33" s="58" t="inlineStr">
        <is>
          <t>Credit Qualify</t>
        </is>
      </c>
      <c r="I33" s="101">
        <f>MAX(( (IF(I31&gt;2000,(MIN(I31-2000,2000)*25%),0))
    + (IF(I31&gt;2000,2000,I31)))*IF(AND(L30=J37,I32&gt;J38),(J39-I32)/10000,
     IF(AND(L30=K37,I32&gt;K38),(K39-I32)/10000,
        IF(AND(L30=L37,I32&gt;L38),(L39-I32)/20000,1))),0)</f>
        <v/>
      </c>
      <c r="K33" s="62" t="n"/>
      <c r="N33" t="inlineStr">
        <is>
          <t>Credit %</t>
        </is>
      </c>
      <c r="P33" s="62">
        <f>ROUND(IF(P32&lt;Q38,O38,IF(AND(P32&gt;P39,P32&lt;Q39),O39-(((P32-P39)/2000)*1%),IF(P32&gt;P40,O40,0))),2)</f>
        <v/>
      </c>
      <c r="U33" t="inlineStr">
        <is>
          <t>Credit Rate</t>
        </is>
      </c>
      <c r="V33" s="62">
        <f>IF(AND(Z31=U40,V31&lt;V40),V37,IF(AND(Z31=U40,V31&gt;V40,V31&lt;W40),W37,IF(AND(Z31=U40,V31&gt;W40,V31&lt;X40),X37,IF(AND(Z31=U40,V31&gt;X40,V31&lt;Y40),Y37,0))))+IF(AND(Z31=U39,V31&lt;V39),V37,IF(AND(Z31=U39,V31&gt;V39,V31&lt;W39),W37,IF(AND(Z31=U39,V31&gt;W39,V31&lt;X39),X37,IF(AND(Z31=U39,V31&gt;X39,V31&lt;Y39),Y37,0))))+IF(AND(Z31=U38,V31&lt;V38),V37,IF(AND(Z31=U38,V31&gt;V38,V31&lt;W38),W37,IF(AND(Z31=U38,V31&gt;W38,V31&lt;X38),X37,IF(AND(Z31=U38,V31&gt;X38,V31&lt;Y38),Y37,0))))</f>
        <v/>
      </c>
    </row>
    <row r="34" ht="16.5" customHeight="1" s="140" thickTop="1">
      <c r="B34" s="79" t="inlineStr">
        <is>
          <t>MFS</t>
        </is>
      </c>
      <c r="E34" s="102" t="n">
        <v>12500</v>
      </c>
      <c r="F34" s="102" t="n">
        <v>3750</v>
      </c>
      <c r="I34" s="57" t="n"/>
      <c r="N34" s="15" t="inlineStr">
        <is>
          <t>Credit Amount</t>
        </is>
      </c>
      <c r="O34" s="15" t="n"/>
      <c r="P34" s="16">
        <f>MIN(P30,P29)*P33*P31</f>
        <v/>
      </c>
      <c r="U34" s="15" t="inlineStr">
        <is>
          <t>Credit Amount</t>
        </is>
      </c>
      <c r="V34" s="16">
        <f>V32*(V33)</f>
        <v/>
      </c>
    </row>
    <row r="36" ht="15.75" customHeight="1" s="140">
      <c r="B36" s="50" t="inlineStr">
        <is>
          <t>Filing Status</t>
        </is>
      </c>
      <c r="E36" s="50" t="inlineStr">
        <is>
          <t>AGI Limit (used in worksheet formula)</t>
        </is>
      </c>
      <c r="H36" s="45" t="inlineStr">
        <is>
          <t>AGI LIMIT (MAGI)</t>
        </is>
      </c>
      <c r="I36" s="46" t="n"/>
      <c r="J36" s="46" t="n"/>
      <c r="K36" s="46" t="n"/>
      <c r="L36" s="46" t="n"/>
      <c r="N36" s="45" t="inlineStr">
        <is>
          <t>AGI LIMIT (MAGI)</t>
        </is>
      </c>
      <c r="O36" s="46" t="n"/>
      <c r="P36" s="46" t="n"/>
      <c r="Q36" s="46" t="n"/>
      <c r="R36" s="46" t="n"/>
      <c r="S36" s="46" t="n"/>
      <c r="U36" s="104" t="inlineStr">
        <is>
          <t>Tax Credit (AGI Limits)</t>
        </is>
      </c>
      <c r="V36" s="75" t="n"/>
      <c r="W36" s="75" t="n"/>
      <c r="X36" s="75" t="n"/>
      <c r="Y36" s="75" t="n"/>
      <c r="Z36" s="75" t="n"/>
    </row>
    <row r="37" ht="15.75" customHeight="1" s="140">
      <c r="B37" s="79" t="inlineStr">
        <is>
          <t>Single</t>
        </is>
      </c>
      <c r="E37" s="103" t="n">
        <v>7500</v>
      </c>
      <c r="J37" s="18" t="inlineStr">
        <is>
          <t>Single</t>
        </is>
      </c>
      <c r="K37" s="18" t="inlineStr">
        <is>
          <t>Head of Household</t>
        </is>
      </c>
      <c r="L37" s="18" t="inlineStr">
        <is>
          <t>MFJ</t>
        </is>
      </c>
      <c r="N37" s="129" t="inlineStr">
        <is>
          <t>Minimum</t>
        </is>
      </c>
      <c r="O37" s="129" t="inlineStr">
        <is>
          <t>Maximum</t>
        </is>
      </c>
      <c r="P37" s="18" t="inlineStr">
        <is>
          <t>AGI Range</t>
        </is>
      </c>
      <c r="Q37" s="18" t="inlineStr">
        <is>
          <t>AGI Range</t>
        </is>
      </c>
      <c r="R37" s="18" t="inlineStr">
        <is>
          <t>Credit %</t>
        </is>
      </c>
      <c r="S37" s="18" t="inlineStr">
        <is>
          <t>Notes</t>
        </is>
      </c>
      <c r="U37" s="50" t="inlineStr">
        <is>
          <t>Filing Status</t>
        </is>
      </c>
      <c r="V37" s="73" t="n">
        <v>0.5</v>
      </c>
      <c r="W37" s="73" t="n">
        <v>0.2</v>
      </c>
      <c r="X37" s="73" t="n">
        <v>0.1</v>
      </c>
      <c r="Y37" s="73" t="n">
        <v>0</v>
      </c>
    </row>
    <row r="38" ht="15.75" customHeight="1" s="140">
      <c r="B38" t="inlineStr">
        <is>
          <t>Head of Household</t>
        </is>
      </c>
      <c r="E38" s="103" t="n">
        <v>7500</v>
      </c>
      <c r="H38" t="inlineStr">
        <is>
          <t>Limit</t>
        </is>
      </c>
      <c r="J38" s="55" t="n">
        <v>80000</v>
      </c>
      <c r="K38" s="55" t="n">
        <v>80000</v>
      </c>
      <c r="L38" s="55" t="n">
        <v>160000</v>
      </c>
      <c r="N38" s="61" t="n">
        <v>0</v>
      </c>
      <c r="O38" s="12" t="n">
        <v>0.35</v>
      </c>
      <c r="P38" t="n">
        <v>0</v>
      </c>
      <c r="Q38" t="n">
        <v>15000</v>
      </c>
      <c r="S38" t="inlineStr">
        <is>
          <t>Highest credit rate</t>
        </is>
      </c>
      <c r="U38" s="50" t="inlineStr">
        <is>
          <t>MFJ</t>
        </is>
      </c>
      <c r="V38" s="142" t="n">
        <v>46000</v>
      </c>
      <c r="W38" s="142" t="n">
        <v>50000</v>
      </c>
      <c r="X38" s="142" t="n">
        <v>76500</v>
      </c>
      <c r="Y38" s="142" t="n">
        <v>76500</v>
      </c>
    </row>
    <row r="39" ht="15.75" customHeight="1" s="140">
      <c r="B39" s="79" t="inlineStr">
        <is>
          <t>MFJ (one qualifies)</t>
        </is>
      </c>
      <c r="E39" s="103" t="n">
        <v>10000</v>
      </c>
      <c r="H39" t="inlineStr">
        <is>
          <t>Phase Out range</t>
        </is>
      </c>
      <c r="J39" s="55" t="n">
        <v>90000</v>
      </c>
      <c r="K39" s="55" t="n">
        <v>90000</v>
      </c>
      <c r="L39" s="55" t="n">
        <v>180000</v>
      </c>
      <c r="N39" s="108" t="n">
        <v>0.21</v>
      </c>
      <c r="O39" s="12" t="n">
        <v>0.34</v>
      </c>
      <c r="P39" t="n">
        <v>15000</v>
      </c>
      <c r="Q39" t="n">
        <v>43000</v>
      </c>
      <c r="S39" t="inlineStr">
        <is>
          <t>Drops 1% for each $2,000 (or fraction) over $15,000</t>
        </is>
      </c>
      <c r="U39" s="50" t="inlineStr">
        <is>
          <t>HOH</t>
        </is>
      </c>
      <c r="V39" s="142" t="n">
        <v>34500</v>
      </c>
      <c r="W39" s="142" t="n">
        <v>37500</v>
      </c>
      <c r="X39" s="142" t="n">
        <v>57375</v>
      </c>
      <c r="Y39" s="142" t="n">
        <v>57375</v>
      </c>
    </row>
    <row r="40" ht="15.75" customHeight="1" s="140">
      <c r="B40" s="79" t="inlineStr">
        <is>
          <t>MFJ (both qualify)</t>
        </is>
      </c>
      <c r="E40" s="103" t="n">
        <v>10000</v>
      </c>
      <c r="N40" s="109" t="n">
        <v>0.2</v>
      </c>
      <c r="O40" s="108" t="n">
        <v>0.2</v>
      </c>
      <c r="P40" t="n">
        <v>43000</v>
      </c>
      <c r="U40" s="50" t="inlineStr">
        <is>
          <t>Single / MFS</t>
        </is>
      </c>
      <c r="V40" s="142" t="n">
        <v>23000</v>
      </c>
      <c r="W40" s="142" t="n">
        <v>25000</v>
      </c>
      <c r="X40" s="142" t="n">
        <v>38250</v>
      </c>
      <c r="Y40" s="142" t="n">
        <v>38250</v>
      </c>
    </row>
    <row r="41" ht="15.75" customHeight="1" s="140">
      <c r="B41" s="79" t="inlineStr">
        <is>
          <t>MFS</t>
        </is>
      </c>
      <c r="E41" s="103" t="n">
        <v>5000</v>
      </c>
      <c r="H41" s="32" t="inlineStr">
        <is>
          <t>LLC (Lifetime Learning Tax Credit)</t>
        </is>
      </c>
      <c r="I41" s="32" t="n"/>
      <c r="J41" s="32" t="n"/>
      <c r="K41" s="32" t="n"/>
      <c r="L41" s="32" t="n"/>
      <c r="N41" s="69" t="n"/>
      <c r="P41" t="n">
        <v>0</v>
      </c>
      <c r="Q41" t="n">
        <v>0</v>
      </c>
      <c r="R41" t="inlineStr">
        <is>
          <t>Not eligible</t>
        </is>
      </c>
    </row>
    <row r="42">
      <c r="H42" t="inlineStr">
        <is>
          <t>Credit Amount Max</t>
        </is>
      </c>
      <c r="I42" s="55" t="n">
        <v>2000</v>
      </c>
    </row>
    <row r="43" ht="15.75" customHeight="1" s="140">
      <c r="B43" s="32" t="inlineStr">
        <is>
          <t>Residential Energy Property Credit</t>
        </is>
      </c>
      <c r="C43" s="32" t="n"/>
      <c r="D43" s="32" t="n"/>
      <c r="E43" s="32" t="n"/>
      <c r="F43" s="32" t="n"/>
      <c r="H43" t="inlineStr">
        <is>
          <t>Credit %</t>
        </is>
      </c>
      <c r="I43" s="21" t="n">
        <v>0.2</v>
      </c>
      <c r="K43" s="129">
        <f>K30</f>
        <v/>
      </c>
      <c r="L43" s="129">
        <f>L30</f>
        <v/>
      </c>
    </row>
    <row r="44" ht="15.75" customHeight="1" s="140">
      <c r="B44" s="79" t="inlineStr">
        <is>
          <t>Credit Percentage</t>
        </is>
      </c>
      <c r="C44" s="12" t="n">
        <v>0.3</v>
      </c>
      <c r="H44" t="inlineStr">
        <is>
          <t>Education Spend</t>
        </is>
      </c>
      <c r="I44" s="55" t="n">
        <v>0</v>
      </c>
      <c r="N44" s="32" t="inlineStr">
        <is>
          <t>Foreign Tax Credits</t>
        </is>
      </c>
      <c r="O44" s="32" t="n"/>
      <c r="P44" s="32" t="n"/>
      <c r="Q44" s="32" t="n"/>
      <c r="R44" s="32" t="n"/>
      <c r="S44" s="32" t="n"/>
    </row>
    <row r="45">
      <c r="B45" s="79" t="inlineStr">
        <is>
          <t>Home energy audit</t>
        </is>
      </c>
      <c r="C45" s="148" t="n"/>
      <c r="H45" t="inlineStr">
        <is>
          <t>MAGI</t>
        </is>
      </c>
      <c r="I45" s="55">
        <f>'Tax Calculations'!E39</f>
        <v/>
      </c>
    </row>
    <row r="46" ht="16.5" customHeight="1" s="140" thickBot="1">
      <c r="B46" s="79" t="inlineStr">
        <is>
          <t>Exterior doors</t>
        </is>
      </c>
      <c r="C46" s="148" t="n"/>
      <c r="H46" s="58" t="inlineStr">
        <is>
          <t>Credit Qualify</t>
        </is>
      </c>
      <c r="I46" s="101">
        <f>IF(AND(L43=J49,I45&lt;J50),MIN(I42,I43*I44),IF(AND(L43=J49,I45&gt;J50,I45&lt;J51),MIN(I42,I43*I44)*(1-(I45-J50)/(J51-J50)),0))+IF(AND(L43=K49,I45&lt;K50),MIN(I42,I43*I44),IF(AND(L43=K49,I45&gt;K50,I45&lt;K51),MIN(I42,I43*I44)*(1-(I45-K50)/(K51-K50)),0))+IF(AND(L43=L49,I45&lt;L50),MIN(I42,I43*I44),IF(AND(L43=L49,I45&gt;L50,I45&lt;L51),MIN(I42,I43*I44)*(1-(I45-L50)/(L51-L50)),0))</f>
        <v/>
      </c>
      <c r="N46" t="inlineStr">
        <is>
          <t>Worldwide Income</t>
        </is>
      </c>
      <c r="P46" s="55" t="n"/>
    </row>
    <row r="47" ht="15.75" customHeight="1" s="140" thickTop="1">
      <c r="B47" s="79" t="inlineStr">
        <is>
          <t>Exterior windows/skylights</t>
        </is>
      </c>
      <c r="C47" s="148" t="n"/>
      <c r="N47" t="inlineStr">
        <is>
          <t>Foreign Source Income</t>
        </is>
      </c>
      <c r="P47" s="55" t="n"/>
    </row>
    <row r="48" ht="15.75" customHeight="1" s="140">
      <c r="B48" s="79" t="inlineStr">
        <is>
          <t>Central air conditioner, water heater, furnace, boiler</t>
        </is>
      </c>
      <c r="C48" s="148" t="n"/>
      <c r="H48" s="45" t="inlineStr">
        <is>
          <t>AGI LIMIT (MAGI)</t>
        </is>
      </c>
      <c r="I48" s="46" t="n"/>
      <c r="J48" s="46" t="n"/>
      <c r="K48" s="46" t="n"/>
      <c r="L48" s="46" t="n"/>
      <c r="N48" t="inlineStr">
        <is>
          <t>US tax Before Credits</t>
        </is>
      </c>
      <c r="P48" s="41" t="n">
        <v>5000</v>
      </c>
    </row>
    <row r="49" ht="15.75" customHeight="1" s="140">
      <c r="B49" s="79" t="inlineStr">
        <is>
          <t>Heat pumps, biomass stoves, or boilers</t>
        </is>
      </c>
      <c r="C49" s="30" t="n"/>
      <c r="J49" s="18" t="inlineStr">
        <is>
          <t>Single</t>
        </is>
      </c>
      <c r="K49" s="18" t="inlineStr">
        <is>
          <t>Head of Household</t>
        </is>
      </c>
      <c r="L49" s="18" t="inlineStr">
        <is>
          <t>MFJ</t>
        </is>
      </c>
      <c r="N49" s="69" t="inlineStr">
        <is>
          <t>Foreign tax paid</t>
        </is>
      </c>
      <c r="P49" s="55" t="n"/>
    </row>
    <row r="50" ht="16.5" customHeight="1" s="140" thickBot="1">
      <c r="B50" s="58" t="inlineStr">
        <is>
          <t>Deduction Qualify</t>
        </is>
      </c>
      <c r="C50" s="101">
        <f>MIN(C45*C44,C55)+MIN(C46*C44,C56)+MIN(C47*C44,C57)+MIN(C48*C44,C59)</f>
        <v/>
      </c>
      <c r="D50" s="129" t="n"/>
      <c r="E50" s="129" t="n"/>
      <c r="F50" s="129" t="n"/>
      <c r="H50" t="inlineStr">
        <is>
          <t>Limit</t>
        </is>
      </c>
      <c r="J50" s="55" t="n">
        <v>80000</v>
      </c>
      <c r="K50" s="55" t="n">
        <v>80000</v>
      </c>
      <c r="L50" s="55" t="n">
        <v>160000</v>
      </c>
      <c r="N50" t="inlineStr">
        <is>
          <t>Carry Forward / Carry Back</t>
        </is>
      </c>
      <c r="P50" s="41">
        <f>IFERROR(P49-P51,0)</f>
        <v/>
      </c>
    </row>
    <row r="51" ht="17.25" customHeight="1" s="140" thickBot="1" thickTop="1">
      <c r="H51" t="inlineStr">
        <is>
          <t>Phase Out range</t>
        </is>
      </c>
      <c r="J51" s="55" t="n">
        <v>90000</v>
      </c>
      <c r="K51" s="55" t="n">
        <v>90000</v>
      </c>
      <c r="L51" s="55" t="n">
        <v>180000</v>
      </c>
      <c r="N51" s="58" t="inlineStr">
        <is>
          <t>Credit Amount Limit</t>
        </is>
      </c>
      <c r="O51" s="58" t="n"/>
      <c r="P51" s="71">
        <f>IFERROR(P47/P46*P48,0)</f>
        <v/>
      </c>
    </row>
    <row r="52" ht="15.75" customHeight="1" s="140" thickTop="1"/>
    <row r="53" ht="15.75" customHeight="1" s="140">
      <c r="B53" s="45" t="inlineStr">
        <is>
          <t>Annual Deduction limit</t>
        </is>
      </c>
      <c r="C53" s="46" t="n"/>
      <c r="D53" s="46" t="n"/>
      <c r="E53" s="46" t="n"/>
      <c r="F53" s="46" t="n"/>
    </row>
    <row r="54">
      <c r="B54" s="79" t="inlineStr">
        <is>
          <t>Overall annual limit</t>
        </is>
      </c>
      <c r="C54" s="110" t="n">
        <v>1200</v>
      </c>
    </row>
    <row r="55" ht="15.75" customHeight="1" s="140">
      <c r="B55" s="79" t="inlineStr">
        <is>
          <t>Home energy audit</t>
        </is>
      </c>
      <c r="C55" s="110" t="n">
        <v>150</v>
      </c>
      <c r="H55" s="32" t="inlineStr">
        <is>
          <t>Non Business Energy Property Credit</t>
        </is>
      </c>
      <c r="I55" s="32" t="n"/>
      <c r="J55" s="32" t="n"/>
      <c r="K55" s="32" t="n"/>
      <c r="L55" s="32" t="n"/>
      <c r="N55" s="32" t="inlineStr">
        <is>
          <t>Adoption Credit</t>
        </is>
      </c>
      <c r="O55" s="32" t="n"/>
      <c r="P55" s="32" t="n"/>
      <c r="Q55" s="32" t="n"/>
      <c r="R55" s="32" t="n"/>
      <c r="S55" s="32" t="n"/>
    </row>
    <row r="56">
      <c r="B56" s="79" t="inlineStr">
        <is>
          <t>Exterior doors</t>
        </is>
      </c>
      <c r="C56" s="110" t="n">
        <v>250</v>
      </c>
      <c r="D56" t="inlineStr">
        <is>
          <t>Per door, max $500 total</t>
        </is>
      </c>
      <c r="H56" t="inlineStr">
        <is>
          <t>Credit Percentage</t>
        </is>
      </c>
      <c r="I56" s="12" t="n">
        <v>0.3</v>
      </c>
      <c r="N56" t="inlineStr">
        <is>
          <t>Maximum Credit</t>
        </is>
      </c>
      <c r="P56" s="41" t="n">
        <v>17280</v>
      </c>
    </row>
    <row r="57">
      <c r="B57" s="79" t="inlineStr">
        <is>
          <t>Exterior windows/skylights</t>
        </is>
      </c>
      <c r="C57" s="110" t="n">
        <v>600</v>
      </c>
      <c r="H57" s="80" t="inlineStr">
        <is>
          <t>Central Air Conditioner</t>
        </is>
      </c>
      <c r="I57" s="24" t="n"/>
      <c r="N57" t="inlineStr">
        <is>
          <t>AGI</t>
        </is>
      </c>
      <c r="P57" s="41" t="n">
        <v>259190</v>
      </c>
    </row>
    <row r="58">
      <c r="B58" s="79" t="inlineStr">
        <is>
          <t>Central air conditioner, water heater, furnace, boiler</t>
        </is>
      </c>
      <c r="C58" s="110" t="n">
        <v>600</v>
      </c>
      <c r="H58" s="80" t="inlineStr">
        <is>
          <t>Furnace or Boiler</t>
        </is>
      </c>
      <c r="I58" s="24" t="n"/>
      <c r="N58" t="inlineStr">
        <is>
          <t>Actual Expense of Adoption Credit</t>
        </is>
      </c>
    </row>
    <row r="59">
      <c r="B59" s="79" t="inlineStr">
        <is>
          <t>Heat pumps, biomass stoves, or boilers</t>
        </is>
      </c>
      <c r="C59" s="110">
        <f>VALUE(2000)</f>
        <v/>
      </c>
      <c r="D59" t="inlineStr">
        <is>
          <t>total (separate from $1,200 limit)</t>
        </is>
      </c>
      <c r="H59" s="80" t="inlineStr">
        <is>
          <t>Water Heater</t>
        </is>
      </c>
      <c r="I59" s="24" t="n"/>
    </row>
    <row r="60">
      <c r="H60" s="80" t="inlineStr">
        <is>
          <t>Electric Panel Upgrade</t>
        </is>
      </c>
      <c r="I60" s="24" t="n"/>
    </row>
    <row r="61" ht="16.5" customHeight="1" s="140" thickBot="1">
      <c r="H61" s="58" t="inlineStr">
        <is>
          <t>Deduction Qualify</t>
        </is>
      </c>
      <c r="I61" s="101">
        <f>MIN(I57*I56,I66)+MIN(I58*I56,I67)+MIN(I59*I56,I68)+MIN(I60*I56,I69)</f>
        <v/>
      </c>
      <c r="N61" s="58" t="inlineStr">
        <is>
          <t>Credit Qualify</t>
        </is>
      </c>
      <c r="O61" s="101" t="n"/>
      <c r="P61" s="101" t="n"/>
    </row>
    <row r="62" ht="16.5" customHeight="1" s="140" thickTop="1">
      <c r="B62" s="32" t="inlineStr">
        <is>
          <t>Electric Vehicle Credit</t>
        </is>
      </c>
      <c r="C62" s="32" t="n"/>
      <c r="D62" s="32" t="n"/>
      <c r="E62" s="32" t="n"/>
      <c r="F62" s="32" t="n"/>
    </row>
    <row r="63" ht="15.75" customHeight="1" s="140">
      <c r="B63" t="inlineStr">
        <is>
          <t>Maximum Credit</t>
        </is>
      </c>
      <c r="C63" s="41" t="n">
        <v>7500</v>
      </c>
      <c r="E63" s="139" t="inlineStr">
        <is>
          <t>Credit Divided</t>
        </is>
      </c>
    </row>
    <row r="64" ht="15.75" customHeight="1" s="140">
      <c r="B64" t="inlineStr">
        <is>
          <t>Does Battery component Met?</t>
        </is>
      </c>
      <c r="C64" s="23" t="inlineStr">
        <is>
          <t>No</t>
        </is>
      </c>
      <c r="E64" s="80" t="inlineStr">
        <is>
          <t>Battery Component</t>
        </is>
      </c>
      <c r="F64" s="41" t="n">
        <v>3750</v>
      </c>
      <c r="H64" s="45" t="inlineStr">
        <is>
          <t>Annual Deduction limit</t>
        </is>
      </c>
      <c r="I64" s="46" t="n"/>
      <c r="J64" s="46" t="n"/>
      <c r="K64" s="46" t="n"/>
      <c r="L64" s="46" t="n"/>
      <c r="N64" s="45" t="inlineStr">
        <is>
          <t>AGI Limits</t>
        </is>
      </c>
      <c r="O64" s="46" t="n"/>
      <c r="P64" s="46" t="n"/>
      <c r="Q64" s="46" t="n"/>
      <c r="R64" s="46" t="n"/>
      <c r="S64" s="46" t="n"/>
    </row>
    <row r="65" ht="15.75" customHeight="1" s="140">
      <c r="B65" t="inlineStr">
        <is>
          <t>Does Critical Minerals Met?</t>
        </is>
      </c>
      <c r="C65" s="23" t="inlineStr">
        <is>
          <t>No</t>
        </is>
      </c>
      <c r="E65" s="80" t="inlineStr">
        <is>
          <t>Critical Minerals</t>
        </is>
      </c>
      <c r="F65" s="41" t="n">
        <v>3750</v>
      </c>
      <c r="H65" s="50" t="inlineStr">
        <is>
          <t>Equipment Type</t>
        </is>
      </c>
      <c r="I65" s="50" t="inlineStr">
        <is>
          <t>Annual Limit</t>
        </is>
      </c>
      <c r="J65" s="50" t="n"/>
    </row>
    <row r="66" ht="15.75" customHeight="1" s="140">
      <c r="B66" t="inlineStr">
        <is>
          <t>Vehicle Price</t>
        </is>
      </c>
      <c r="C66" s="55" t="n"/>
      <c r="E66" s="113" t="inlineStr">
        <is>
          <t>Total Possible</t>
        </is>
      </c>
      <c r="F66" s="52" t="n">
        <v>7500</v>
      </c>
      <c r="H66" s="50" t="inlineStr">
        <is>
          <t>Central Air Conditioner</t>
        </is>
      </c>
      <c r="I66" s="142" t="n">
        <v>600</v>
      </c>
      <c r="J66" s="79" t="n"/>
      <c r="N66" s="50" t="inlineStr">
        <is>
          <t>Filing Status</t>
        </is>
      </c>
      <c r="P66" s="50" t="inlineStr">
        <is>
          <t>Phaseout Begins (MAGI)</t>
        </is>
      </c>
      <c r="R66" s="50" t="inlineStr">
        <is>
          <t>Phaseout Ends (MAGI)</t>
        </is>
      </c>
    </row>
    <row r="67" ht="15.75" customHeight="1" s="140">
      <c r="B67" t="inlineStr">
        <is>
          <t>AGI</t>
        </is>
      </c>
      <c r="C67" s="55">
        <f>'Tax Calculations'!E39</f>
        <v/>
      </c>
      <c r="H67" s="50" t="inlineStr">
        <is>
          <t>Furnace or Boiler</t>
        </is>
      </c>
      <c r="I67" s="142" t="n">
        <v>600</v>
      </c>
      <c r="J67" s="79" t="n"/>
      <c r="N67" s="80" t="inlineStr">
        <is>
          <t>Single</t>
        </is>
      </c>
      <c r="P67" s="142" t="n">
        <v>252150</v>
      </c>
      <c r="R67" s="142" t="n">
        <v>292150</v>
      </c>
    </row>
    <row r="68" ht="15.75" customHeight="1" s="140">
      <c r="B68" t="inlineStr">
        <is>
          <t>Vehicle Type</t>
        </is>
      </c>
      <c r="C68" s="70" t="inlineStr">
        <is>
          <t>Other vehicles</t>
        </is>
      </c>
      <c r="E68" t="inlineStr">
        <is>
          <t>Filing Status</t>
        </is>
      </c>
      <c r="F68" s="70" t="inlineStr">
        <is>
          <t>Single</t>
        </is>
      </c>
      <c r="H68" s="50" t="inlineStr">
        <is>
          <t>Water Heater</t>
        </is>
      </c>
      <c r="I68" s="142" t="n">
        <v>600</v>
      </c>
      <c r="J68" s="79" t="n"/>
      <c r="N68" s="80" t="inlineStr">
        <is>
          <t>Married Filing Jointly (MFJ)</t>
        </is>
      </c>
      <c r="P68" s="142" t="n">
        <v>252150</v>
      </c>
      <c r="R68" s="142" t="n">
        <v>292150</v>
      </c>
    </row>
    <row r="69" ht="16.5" customHeight="1" s="140" thickBot="1">
      <c r="B69" s="58" t="inlineStr">
        <is>
          <t>Credit Qualify</t>
        </is>
      </c>
      <c r="C69" s="101">
        <f>IF(AND(C65="Yes",F68=B74,C66&lt;F69,C67&lt;C74),F65,0)+IF(AND(C64="Yes",F68=B74,C66&lt;F69,C67&lt;C74),F64,0)+IF(AND(C65="Yes",F68=B75,C66&lt;F69,C67&lt;C75),F65,0)+IF(AND(C64="Yes",F68=B75,C66&lt;F69,C67&lt;C75),F64,0)+IF(AND(C65="Yes",F68=B76,C66&lt;F69,C67&lt;C76),F65,0)+IF(AND(C64="Yes",F68=B76,C66&lt;F69,C67&lt;C76),F64,0)</f>
        <v/>
      </c>
      <c r="E69" t="inlineStr">
        <is>
          <t>Vehicle Qualify</t>
        </is>
      </c>
      <c r="F69" s="41">
        <f>SUMIF(E74:E75,C68,F74:F75)</f>
        <v/>
      </c>
      <c r="H69" s="50" t="inlineStr">
        <is>
          <t>Electric Panel Upgrade</t>
        </is>
      </c>
      <c r="I69" s="142" t="n">
        <v>600</v>
      </c>
      <c r="J69" s="79" t="n"/>
      <c r="N69" s="80" t="inlineStr">
        <is>
          <t>Head of Household</t>
        </is>
      </c>
      <c r="P69" s="142" t="n">
        <v>252150</v>
      </c>
      <c r="R69" s="142" t="n">
        <v>292150</v>
      </c>
    </row>
    <row r="70" ht="15.75" customHeight="1" s="140" thickTop="1">
      <c r="N70" s="80" t="inlineStr">
        <is>
          <t>Married Filing Separately (MFS)</t>
        </is>
      </c>
      <c r="O70" s="76" t="n"/>
      <c r="P70" s="80" t="inlineStr">
        <is>
          <t>❌ Not eligible</t>
        </is>
      </c>
      <c r="Q70" s="79" t="inlineStr">
        <is>
          <t>—</t>
        </is>
      </c>
      <c r="R70" s="79" t="n"/>
    </row>
    <row r="71" ht="15.75" customHeight="1" s="140">
      <c r="B71" s="45" t="inlineStr">
        <is>
          <t>Limits</t>
        </is>
      </c>
      <c r="C71" s="46" t="n"/>
      <c r="D71" s="46" t="n"/>
      <c r="E71" s="46" t="n"/>
      <c r="F71" s="46" t="n"/>
    </row>
    <row r="72" ht="15.75" customHeight="1" s="140">
      <c r="B72" s="139" t="inlineStr">
        <is>
          <t>Buyer income Limits</t>
        </is>
      </c>
      <c r="E72" s="139" t="inlineStr">
        <is>
          <t>Vehicle Eligibilty</t>
        </is>
      </c>
    </row>
    <row r="73" ht="15.75" customHeight="1" s="140">
      <c r="B73" s="50" t="inlineStr">
        <is>
          <t>Filing Status</t>
        </is>
      </c>
      <c r="C73" s="50" t="inlineStr">
        <is>
          <t>Income Limit</t>
        </is>
      </c>
      <c r="E73" s="50" t="inlineStr">
        <is>
          <t>Vehicle Type</t>
        </is>
      </c>
      <c r="F73" s="50" t="inlineStr">
        <is>
          <t>MSRP Cap</t>
        </is>
      </c>
    </row>
    <row r="74">
      <c r="B74" s="79" t="inlineStr">
        <is>
          <t>Single</t>
        </is>
      </c>
      <c r="C74" s="142" t="n">
        <v>150000</v>
      </c>
      <c r="E74" s="79" t="inlineStr">
        <is>
          <t>Vans, SUVs, Trucks</t>
        </is>
      </c>
      <c r="F74" s="142" t="n">
        <v>80000</v>
      </c>
    </row>
    <row r="75">
      <c r="B75" s="79" t="inlineStr">
        <is>
          <t>Head of Household</t>
        </is>
      </c>
      <c r="C75" s="142" t="n">
        <v>225000</v>
      </c>
      <c r="E75" s="79" t="inlineStr">
        <is>
          <t>Other vehicles</t>
        </is>
      </c>
      <c r="F75" s="142" t="n">
        <v>55000</v>
      </c>
    </row>
    <row r="76">
      <c r="B76" s="79" t="inlineStr">
        <is>
          <t>Married Filing Jointly</t>
        </is>
      </c>
      <c r="C76" s="142" t="n">
        <v>300000</v>
      </c>
    </row>
  </sheetData>
  <mergeCells count="3">
    <mergeCell ref="B72:C72"/>
    <mergeCell ref="E72:F72"/>
    <mergeCell ref="E63:F63"/>
  </mergeCells>
  <dataValidations count="6">
    <dataValidation sqref="F23" showDropDown="0" showInputMessage="1" showErrorMessage="1" allowBlank="1" type="list">
      <formula1>$B$30:$B$34</formula1>
    </dataValidation>
    <dataValidation sqref="Z31" showDropDown="0" showInputMessage="1" showErrorMessage="1" allowBlank="1" type="list">
      <formula1>$U$38:$U$40</formula1>
    </dataValidation>
    <dataValidation sqref="C64:C65" showDropDown="0" showInputMessage="1" showErrorMessage="1" allowBlank="1" type="list">
      <formula1>"Yes,No"</formula1>
    </dataValidation>
    <dataValidation sqref="F68" showDropDown="0" showInputMessage="1" showErrorMessage="1" allowBlank="1" type="list">
      <formula1>$B$74:$B$76</formula1>
    </dataValidation>
    <dataValidation sqref="C68" showDropDown="0" showInputMessage="1" showErrorMessage="1" allowBlank="1" type="list">
      <formula1>$E$74:$E$75</formula1>
    </dataValidation>
    <dataValidation sqref="C3:C16" showDropDown="0" showInputMessage="1" showErrorMessage="1" allowBlank="1" type="list">
      <formula1>"Refundable,Non-Refundable"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Shaff Abdullah ACCA</dc:creator>
  <dcterms:created xsi:type="dcterms:W3CDTF">2025-09-27T08:03:54Z</dcterms:created>
  <dcterms:modified xsi:type="dcterms:W3CDTF">2026-08-09T16:40:53Z</dcterms:modified>
  <cp:lastModifiedBy>Moorche</cp:lastModifiedBy>
</cp:coreProperties>
</file>